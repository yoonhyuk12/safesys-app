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특별점검결과표" state="visible" r:id="rId4"/>
  </sheets>
  <calcPr calcId="171027"/>
</workbook>
</file>

<file path=xl/sharedStrings.xml><?xml version="1.0" encoding="utf-8"?>
<sst xmlns="http://schemas.openxmlformats.org/spreadsheetml/2006/main" count="2326" uniqueCount="358">
  <si>
    <t>○ 2026년 2분기 건설현장 특별점검 결과표</t>
  </si>
  <si>
    <t>본부/사업단</t>
  </si>
  <si>
    <t>지사</t>
  </si>
  <si>
    <t>단위사업명</t>
  </si>
  <si>
    <t>세부사업명</t>
  </si>
  <si>
    <t>지구명</t>
  </si>
  <si>
    <t>공사중 여부</t>
  </si>
  <si>
    <t>점검일</t>
  </si>
  <si>
    <t>(부딪힘, 물체에 맞음) 굴착기 등 사용 작업</t>
  </si>
  <si>
    <t>(추락) 가설구조물, 고소작업 등</t>
  </si>
  <si>
    <t>기타사항</t>
  </si>
  <si>
    <t>조치결과</t>
  </si>
  <si>
    <t>비고</t>
  </si>
  <si>
    <t>① 위험공종 작업허가제 승인, 작업계획서 작성 적정성</t>
  </si>
  <si>
    <t>② 전조등, 후방영상장치 작동상태, 후사경의 설치상태, 운전자 안전띠</t>
  </si>
  <si>
    <t>③ 작업장소 지형 및 지반상태</t>
  </si>
  <si>
    <t>④ 건설기계 주변 접근금지, 작업지휘자, 신호수 배치</t>
  </si>
  <si>
    <t>⑤ 인양작업시 안전조치</t>
  </si>
  <si>
    <t>① 가설통로 및 작업발판 안전조치</t>
  </si>
  <si>
    <t>② 비계·동바리 구조 안전</t>
  </si>
  <si>
    <t>③ 고소작업, 개구부 등 안전조치</t>
  </si>
  <si>
    <t>법적이행사항 확인</t>
  </si>
  <si>
    <t>VAR 매뉴얼 작동성 확인</t>
  </si>
  <si>
    <t>취약(신규)근로자 안전관리 확인</t>
  </si>
  <si>
    <t>기술지도 지적사항 확인</t>
  </si>
  <si>
    <t>안전보건표지 설치</t>
  </si>
  <si>
    <t>TBM 실시 확인</t>
  </si>
  <si>
    <t>기타 현장 안전관리에 관한사항</t>
  </si>
  <si>
    <t>여</t>
  </si>
  <si>
    <t>부</t>
  </si>
  <si>
    <t>해당없음</t>
  </si>
  <si>
    <t>소계</t>
  </si>
  <si>
    <t>계</t>
  </si>
  <si>
    <t>경기</t>
  </si>
  <si>
    <t>경기본부</t>
  </si>
  <si>
    <t>환경관리처</t>
  </si>
  <si>
    <t>성남 골프장 오염토정화사업</t>
  </si>
  <si>
    <t>성남</t>
  </si>
  <si>
    <t>O</t>
  </si>
  <si>
    <t>2026-05-15</t>
  </si>
  <si>
    <t/>
  </si>
  <si>
    <t>캠프모빌 및 주변지역 환경오염정화용역</t>
  </si>
  <si>
    <t>캠프모빌</t>
  </si>
  <si>
    <t>2026-05-28</t>
  </si>
  <si>
    <t>지하수지질처</t>
  </si>
  <si>
    <t>캠프레드클라우드 환경오염정화사업용역</t>
  </si>
  <si>
    <t>캠프레드클라우드</t>
  </si>
  <si>
    <t>구)30사단 주둔지 토양오염정화사업</t>
  </si>
  <si>
    <t>구)30사단</t>
  </si>
  <si>
    <t>2026-04-07</t>
  </si>
  <si>
    <t>왜관저유소 토양오염정화사업</t>
  </si>
  <si>
    <t>왜관저유소</t>
  </si>
  <si>
    <t>X</t>
  </si>
  <si>
    <t>동해1함대 토양오염정화사업</t>
  </si>
  <si>
    <t>동해1함대</t>
  </si>
  <si>
    <t>캠프잭슨 환경오염 정화사업</t>
  </si>
  <si>
    <t>캠프잭슨</t>
  </si>
  <si>
    <t>기전기술처</t>
  </si>
  <si>
    <t>경기3지구 농업용수관리자동화사업</t>
  </si>
  <si>
    <t>경기3지구</t>
  </si>
  <si>
    <t>경기지역본부 시설개선공사</t>
  </si>
  <si>
    <t>경기지역본부</t>
  </si>
  <si>
    <t>00지구 수리시설개보수사업</t>
  </si>
  <si>
    <t>00지구</t>
  </si>
  <si>
    <t>수질자동측정망</t>
  </si>
  <si>
    <t>수질자</t>
  </si>
  <si>
    <t>여주·이천지사</t>
  </si>
  <si>
    <t>기반사업처</t>
  </si>
  <si>
    <t>점동지구 다목적 농촌용수 개발사업 토목공사</t>
  </si>
  <si>
    <t>점동지구</t>
  </si>
  <si>
    <t>2026-04-15</t>
  </si>
  <si>
    <t>북내지구 다목적농촌용수개발사업 토목공사</t>
  </si>
  <si>
    <t>북내지구</t>
  </si>
  <si>
    <t>백사지구배수개선사업</t>
  </si>
  <si>
    <t>백사지</t>
  </si>
  <si>
    <t>2026-04-30</t>
  </si>
  <si>
    <t>모전리 농업용수관로정비</t>
  </si>
  <si>
    <t>모전리</t>
  </si>
  <si>
    <t>대서지구 배수개선사업</t>
  </si>
  <si>
    <t>대서지구</t>
  </si>
  <si>
    <t>2026-05-13</t>
  </si>
  <si>
    <t>능서지구 수리시설개보수사업</t>
  </si>
  <si>
    <t>능서지구</t>
  </si>
  <si>
    <t>2026-05-29</t>
  </si>
  <si>
    <t>총사업비 22백만원이상</t>
  </si>
  <si>
    <t>흥천2지구 수리시설개보수사업</t>
  </si>
  <si>
    <t>흥천2지구</t>
  </si>
  <si>
    <t>2026-04-06</t>
  </si>
  <si>
    <t>농촌공간계획처</t>
  </si>
  <si>
    <t>장호원 농촌중심지활성화</t>
  </si>
  <si>
    <t>장호원</t>
  </si>
  <si>
    <t>2026-06-23</t>
  </si>
  <si>
    <t>금사면 기초생활거점 조성사업</t>
  </si>
  <si>
    <t>금사면</t>
  </si>
  <si>
    <t>세종대왕면 기초생활거점 조성사업</t>
  </si>
  <si>
    <t>세종대왕면</t>
  </si>
  <si>
    <t>이천시 설성면 기초생활거점 조성사업 건축토목조경기계공사</t>
  </si>
  <si>
    <t>이천시</t>
  </si>
  <si>
    <t>율면 기초생활거점 조성사업</t>
  </si>
  <si>
    <t>율면</t>
  </si>
  <si>
    <t>2026-06-01</t>
  </si>
  <si>
    <t>오성1리 취약지역</t>
  </si>
  <si>
    <t>오성1리</t>
  </si>
  <si>
    <t>이천시 로컬복합상생(신활력)센터 건립사업</t>
  </si>
  <si>
    <t>안금1리 취약지역 생활여건 개조사업</t>
  </si>
  <si>
    <t>안금1리</t>
  </si>
  <si>
    <t>양평·광주·서울지사</t>
  </si>
  <si>
    <t>광주지구 배수개선사업</t>
  </si>
  <si>
    <t>광주지구</t>
  </si>
  <si>
    <t>2026-04-20</t>
  </si>
  <si>
    <t>수자원시설처</t>
  </si>
  <si>
    <t>천서지구 수리시설개보수사업</t>
  </si>
  <si>
    <t>천서지구</t>
  </si>
  <si>
    <t>강상지구 수리시설개보수사업</t>
  </si>
  <si>
    <t>강상지구</t>
  </si>
  <si>
    <t>2026-05-19</t>
  </si>
  <si>
    <t>개군면기초생활거점조성사업</t>
  </si>
  <si>
    <t>개군면</t>
  </si>
  <si>
    <t>단월면 기초생활거점 조성사업</t>
  </si>
  <si>
    <t>단월면</t>
  </si>
  <si>
    <t>2026-04-17</t>
  </si>
  <si>
    <t>계전2리 취약지역</t>
  </si>
  <si>
    <t>계전2리</t>
  </si>
  <si>
    <t>유정호숫길 조성사업</t>
  </si>
  <si>
    <t>유정호숫길</t>
  </si>
  <si>
    <t>유정호숫길(자재) 조성사업(수변데크, 2구간)</t>
  </si>
  <si>
    <t>유정호숫길(자재)</t>
  </si>
  <si>
    <t>구미지구 수리시설개보수사업</t>
  </si>
  <si>
    <t>구미지구</t>
  </si>
  <si>
    <t>개군대신지구 다목적농촌용수개발사업</t>
  </si>
  <si>
    <t>개군대신지구</t>
  </si>
  <si>
    <t>양평스마트팜</t>
  </si>
  <si>
    <t>양평스</t>
  </si>
  <si>
    <t>화성·수원지사</t>
  </si>
  <si>
    <t>동방지구(배수) 배수개선사업</t>
  </si>
  <si>
    <t>동방지구(배수)</t>
  </si>
  <si>
    <t>2026-04-21</t>
  </si>
  <si>
    <t>이화지구 배수개선사업</t>
  </si>
  <si>
    <t>이화지구</t>
  </si>
  <si>
    <t>2026-06-09</t>
  </si>
  <si>
    <t>동방지구 수리시설개보수사업</t>
  </si>
  <si>
    <t>동방지구</t>
  </si>
  <si>
    <t>장안4지구 영농편의수리시설개보수사업</t>
  </si>
  <si>
    <t>장안4지구</t>
  </si>
  <si>
    <t>흥부지구 수리시설개보수사업</t>
  </si>
  <si>
    <t>흥부지구</t>
  </si>
  <si>
    <t>2026-06-27</t>
  </si>
  <si>
    <t>백운지구 수리시설개보수사업</t>
  </si>
  <si>
    <t>백운지구</t>
  </si>
  <si>
    <t>호곡지구 수리시설개보수사업</t>
  </si>
  <si>
    <t>호곡지구</t>
  </si>
  <si>
    <t>어촌수산처</t>
  </si>
  <si>
    <t>풍도항 어촌신활력</t>
  </si>
  <si>
    <t>풍도항</t>
  </si>
  <si>
    <t>2026-06-12</t>
  </si>
  <si>
    <t>운평지구 영농한해특별대책지원사업</t>
  </si>
  <si>
    <t>운평지구</t>
  </si>
  <si>
    <t>반월지구 수리시설개보수사업</t>
  </si>
  <si>
    <t>반월지구</t>
  </si>
  <si>
    <t>2026-06-04</t>
  </si>
  <si>
    <t>과림지구 수리시설개보수</t>
  </si>
  <si>
    <t>과림지구</t>
  </si>
  <si>
    <t>도창지구 수리시설개보수사업</t>
  </si>
  <si>
    <t>도창지구</t>
  </si>
  <si>
    <t>매화지구 수리시설개보수사업</t>
  </si>
  <si>
    <t>매화지구</t>
  </si>
  <si>
    <t>연천·포천·가평지사</t>
  </si>
  <si>
    <t>아미2지구 지표수보강사업</t>
  </si>
  <si>
    <t>아미2지구</t>
  </si>
  <si>
    <t>판부지구 지표수보강사업</t>
  </si>
  <si>
    <t>판부지구</t>
  </si>
  <si>
    <t>2026-05-14</t>
  </si>
  <si>
    <t>이정지구 수리시설개보수사업</t>
  </si>
  <si>
    <t>이정지구</t>
  </si>
  <si>
    <t>선곡지구 수리시설개보수현장</t>
  </si>
  <si>
    <t>선곡지구</t>
  </si>
  <si>
    <t>백학지구 수리시설개보수사업</t>
  </si>
  <si>
    <t>백학지구</t>
  </si>
  <si>
    <t>전동지구 수리시설개보수사업</t>
  </si>
  <si>
    <t>전동지구</t>
  </si>
  <si>
    <t>동이지구 지표수보강개발사업</t>
  </si>
  <si>
    <t>동이지구</t>
  </si>
  <si>
    <t>파주지사</t>
  </si>
  <si>
    <t>민북지구 다목적농촌용수개발사업</t>
  </si>
  <si>
    <t>민북지구</t>
  </si>
  <si>
    <t>2026-04-16</t>
  </si>
  <si>
    <t>눌노지구 배수개선사업</t>
  </si>
  <si>
    <t>눌노지구</t>
  </si>
  <si>
    <t>가월지구 대구획경지정리사업</t>
  </si>
  <si>
    <t>가월지구</t>
  </si>
  <si>
    <t>현영지구 수리시설 개보수사업</t>
  </si>
  <si>
    <t>현영지구</t>
  </si>
  <si>
    <t>운정3지구 농업관련 대체시설 설치사업</t>
  </si>
  <si>
    <t>운정3지구</t>
  </si>
  <si>
    <t>애룡호수 힐링명소 조성사업(2구간)</t>
  </si>
  <si>
    <t>애룡호수</t>
  </si>
  <si>
    <t>2026-05-08</t>
  </si>
  <si>
    <t>연풍지구 농업기반시설 설치사업</t>
  </si>
  <si>
    <t>연풍지구</t>
  </si>
  <si>
    <t>마장발랑지구 수리시설개보수사업</t>
  </si>
  <si>
    <t>마장발랑지구</t>
  </si>
  <si>
    <t>월롱지구 수리시설개보수사업</t>
  </si>
  <si>
    <t>월롱지구</t>
  </si>
  <si>
    <t>효촌3지구 수리시설 개보수사업 토목공사</t>
  </si>
  <si>
    <t>효촌3지구</t>
  </si>
  <si>
    <t>마장호수 산책로 개선사업</t>
  </si>
  <si>
    <t>마장호수</t>
  </si>
  <si>
    <t>마지지구 배수개선사업</t>
  </si>
  <si>
    <t>마지지구</t>
  </si>
  <si>
    <t>고양지사</t>
  </si>
  <si>
    <t>풍동지구 배수개선사업 토목공사</t>
  </si>
  <si>
    <t>풍동지구</t>
  </si>
  <si>
    <t>2026-04-13</t>
  </si>
  <si>
    <t>사리현벽제 배수개선사업</t>
  </si>
  <si>
    <t>사리현벽제</t>
  </si>
  <si>
    <t>구법지구 수리시설개보수사업</t>
  </si>
  <si>
    <t>구법지구</t>
  </si>
  <si>
    <t>대화지구 수리시설개보수사업</t>
  </si>
  <si>
    <t>대화지구</t>
  </si>
  <si>
    <t>고양방송지구 일반수탁(2차)</t>
  </si>
  <si>
    <t>고양방송지구</t>
  </si>
  <si>
    <t>강화·옹진지사</t>
  </si>
  <si>
    <t>지석지구 배수개선사업  토목공사</t>
  </si>
  <si>
    <t>지석지구</t>
  </si>
  <si>
    <t>매음지구 다목적농촌용수개발사업</t>
  </si>
  <si>
    <t>매음지구</t>
  </si>
  <si>
    <t>흥왕지구 배수개선사업 토목공사 (긴급)</t>
  </si>
  <si>
    <t>흥왕지구</t>
  </si>
  <si>
    <t>양도지구 수리시설 개보수사업</t>
  </si>
  <si>
    <t>양도지구</t>
  </si>
  <si>
    <t>당산지구 지방관리방조제 개보수사업</t>
  </si>
  <si>
    <t>당산지구</t>
  </si>
  <si>
    <t>하리지구 국가관리방조제 개보수사업</t>
  </si>
  <si>
    <t>하리지구</t>
  </si>
  <si>
    <t>신도지구 지방관리 방조제 개보수사업</t>
  </si>
  <si>
    <t>신도지구</t>
  </si>
  <si>
    <t>중앙지구 수리시설 개보수사업</t>
  </si>
  <si>
    <t>중앙지구</t>
  </si>
  <si>
    <t>창곡천 소하천 정비사업</t>
  </si>
  <si>
    <t>창곡천</t>
  </si>
  <si>
    <t>상방 면단위 공공하수처리시설 설치사업 시설공사</t>
  </si>
  <si>
    <t>상방</t>
  </si>
  <si>
    <t>남포 마을하수도 정비사업</t>
  </si>
  <si>
    <t>남포</t>
  </si>
  <si>
    <t>볼음 마을하수도 정비사업</t>
  </si>
  <si>
    <t>볼음</t>
  </si>
  <si>
    <t>석모 마을하수도 정비사업</t>
  </si>
  <si>
    <t>석모</t>
  </si>
  <si>
    <t>2026-04-08</t>
  </si>
  <si>
    <t>대연평 공공하수도 건설사업 시설공사</t>
  </si>
  <si>
    <t>대연평</t>
  </si>
  <si>
    <t>2026-06-18</t>
  </si>
  <si>
    <t>영흥하수관로 정비사업 토목기계공사</t>
  </si>
  <si>
    <t>영흥하수관로</t>
  </si>
  <si>
    <t>2026-06-17</t>
  </si>
  <si>
    <t>망월 마을하수도 정비사업 토목ᆞ건축ᆞ기계공사</t>
  </si>
  <si>
    <t>망월</t>
  </si>
  <si>
    <t>소청 하수처리시설 확충공사</t>
  </si>
  <si>
    <t>소청</t>
  </si>
  <si>
    <t>온수 하수처리시설 확충공사(증설)</t>
  </si>
  <si>
    <t>온수</t>
  </si>
  <si>
    <t>길상지구 수리시설개보수사업 토목공사</t>
  </si>
  <si>
    <t>길상지구</t>
  </si>
  <si>
    <t>창곡천(2단계)소하천 정비사업</t>
  </si>
  <si>
    <t>창곡천(2단계)소하천</t>
  </si>
  <si>
    <t>김포지사</t>
  </si>
  <si>
    <t>가현지구 농촌용수 이용체계 재편사업</t>
  </si>
  <si>
    <t>가현지구</t>
  </si>
  <si>
    <t>2026-06-11</t>
  </si>
  <si>
    <t>풍무지구농업기반시설설치사업</t>
  </si>
  <si>
    <t>풍무지</t>
  </si>
  <si>
    <t>태리지구 수리시설 개보수사업</t>
  </si>
  <si>
    <t>태리지구</t>
  </si>
  <si>
    <t>아라지구 수리시설개보수사업</t>
  </si>
  <si>
    <t>아라지구</t>
  </si>
  <si>
    <t>양곡지구 수리시설 개보수사업</t>
  </si>
  <si>
    <t>양곡지구</t>
  </si>
  <si>
    <t>대명항 어촌 뉴딜사업 3단계 건축토목조경기계공사</t>
  </si>
  <si>
    <t>대명항</t>
  </si>
  <si>
    <t>2026-05-20</t>
  </si>
  <si>
    <t>덕교항 어촌뉴딜사업2단계 건축토목조경기계공사</t>
  </si>
  <si>
    <t>덕교항</t>
  </si>
  <si>
    <t>덕교항 어촌뉴딜사업 3단계 건축토목조경기계공사</t>
  </si>
  <si>
    <t>평택지사</t>
  </si>
  <si>
    <t>황산지구 대구획경지정리사업</t>
  </si>
  <si>
    <t>황산지구</t>
  </si>
  <si>
    <t>석정지구 대구획경지정리사업 토목공사</t>
  </si>
  <si>
    <t>석정지구</t>
  </si>
  <si>
    <t>2026-05-07</t>
  </si>
  <si>
    <t>아산지구 방조제 개보수사업</t>
  </si>
  <si>
    <t>아산지구</t>
  </si>
  <si>
    <t>진위지구수리시설개보수사업</t>
  </si>
  <si>
    <t>진위지</t>
  </si>
  <si>
    <t>화양지구 대체시설설치사업</t>
  </si>
  <si>
    <t>화양지구</t>
  </si>
  <si>
    <t>내천지구 수리시설개보수사업</t>
  </si>
  <si>
    <t>내천지구</t>
  </si>
  <si>
    <t>삼인동2지구수리시설개보수사업</t>
  </si>
  <si>
    <t>삼인동</t>
  </si>
  <si>
    <t>2026-04-03</t>
  </si>
  <si>
    <t>포승지구 수리시설개보수사업</t>
  </si>
  <si>
    <t>포승지구</t>
  </si>
  <si>
    <t>대안지구 수리시설개보수사업</t>
  </si>
  <si>
    <t>대안지구</t>
  </si>
  <si>
    <t>마산지구 수리시설개보수사업 토목공사</t>
  </si>
  <si>
    <t>마산지구</t>
  </si>
  <si>
    <t>포승읍농촌중심지활성화사업 토목건축공사</t>
  </si>
  <si>
    <t>포승읍농촌중심지활성화사업</t>
  </si>
  <si>
    <t>2026-06-26</t>
  </si>
  <si>
    <t>기흥저수지 공원화사업</t>
  </si>
  <si>
    <t>기흥저수지</t>
  </si>
  <si>
    <t>기흥저수지 공원화사업2차 시설공사</t>
  </si>
  <si>
    <t>아산(평택)호 준설사업 3단계</t>
  </si>
  <si>
    <t>아산(평택)호</t>
  </si>
  <si>
    <t>도곡지구 수리시설개보수사업 토목공사</t>
  </si>
  <si>
    <t>도곡지구</t>
  </si>
  <si>
    <t>어연2지구 배수개선사업</t>
  </si>
  <si>
    <t>어연2지구</t>
  </si>
  <si>
    <t>2026-04-02</t>
  </si>
  <si>
    <t>권관2지구 수리시설개보수</t>
  </si>
  <si>
    <t>권관2지구</t>
  </si>
  <si>
    <t>고덕2지구 수리시설개보수사업</t>
  </si>
  <si>
    <t>고덕2지구</t>
  </si>
  <si>
    <t>내천2지구 배수개선사업</t>
  </si>
  <si>
    <t>내천2지구</t>
  </si>
  <si>
    <t>홍원지구 대구획경지정리사업 토목공사</t>
  </si>
  <si>
    <t>홍원지구</t>
  </si>
  <si>
    <t>마두지구 수리시설개보수사업</t>
  </si>
  <si>
    <t>마두지구</t>
  </si>
  <si>
    <t>안성지사</t>
  </si>
  <si>
    <t>건천지구 배수개선</t>
  </si>
  <si>
    <t>건천지구</t>
  </si>
  <si>
    <t>용담지구 배수개선사업</t>
  </si>
  <si>
    <t>용담지구</t>
  </si>
  <si>
    <t>2026-05-26</t>
  </si>
  <si>
    <t>마둔1지구대구획경지정리</t>
  </si>
  <si>
    <t>마둔1</t>
  </si>
  <si>
    <t>삼암구장지구 배수개선사업</t>
  </si>
  <si>
    <t>삼암구장지구</t>
  </si>
  <si>
    <t>만수지구 수리시설개보수사업</t>
  </si>
  <si>
    <t>만수지구</t>
  </si>
  <si>
    <t>구장지구 수리시설개보수사업</t>
  </si>
  <si>
    <t>구장지구</t>
  </si>
  <si>
    <t>안택8지구 수리시설개보수사업</t>
  </si>
  <si>
    <t>안택8지구</t>
  </si>
  <si>
    <t>진사지구 수리시설개보수사업</t>
  </si>
  <si>
    <t>진사지구</t>
  </si>
  <si>
    <t>고삼호수 둘레길 및 수변경관조성사업</t>
  </si>
  <si>
    <t>고삼호수</t>
  </si>
  <si>
    <t>2026-05-09</t>
  </si>
  <si>
    <t>일죽면 기초생활거점조성사업 쉼터공사</t>
  </si>
  <si>
    <t>일죽면</t>
  </si>
  <si>
    <t>원삼면한발대비용수개발사업</t>
  </si>
  <si>
    <t>원삼면</t>
  </si>
  <si>
    <t>마전 농어촌 취약지역 생활여건 개조사업</t>
  </si>
  <si>
    <t>마전</t>
  </si>
  <si>
    <t>신계지구 수리시설개보수사업</t>
  </si>
  <si>
    <t>신계지구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</si>
</sst>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9"/>
    </font>
    <font>
      <b/>
      <sz val="10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theme="0" tint="-0.0499893185216834"/>
      </patternFill>
    </fill>
    <fill>
      <patternFill patternType="solid">
        <fgColor theme="9" tint="0.5999938962981048"/>
      </patternFill>
    </fill>
    <fill>
      <patternFill patternType="solid">
        <fgColor theme="5" tint="0.5999938962981048"/>
      </patternFill>
    </fill>
    <fill>
      <patternFill patternType="solid">
        <fgColor theme="8" tint="0.5999938962981048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5" tint="0.7999816888943144"/>
      </patternFill>
    </fill>
    <fill>
      <patternFill patternType="solid">
        <fgColor theme="8" tint="0.799981688894314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F143"/>
  <sheetViews>
    <sheetView workbookViewId="0">
      <pane xSplit="8" ySplit="7" topLeftCell="I8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13" customWidth="1"/>
    <col min="4" max="4" width="16" customWidth="1"/>
    <col min="5" max="5" width="34" customWidth="1"/>
    <col min="6" max="6" width="10" customWidth="1"/>
    <col min="7" max="7" width="11" customWidth="1"/>
    <col min="8" max="8" width="12" customWidth="1"/>
    <col min="9" max="10" width="5" customWidth="1"/>
    <col min="11" max="11" width="6" customWidth="1"/>
    <col min="12" max="13" width="5" customWidth="1"/>
    <col min="14" max="14" width="6" customWidth="1"/>
    <col min="15" max="16" width="5" customWidth="1"/>
    <col min="17" max="17" width="6" customWidth="1"/>
    <col min="18" max="19" width="5" customWidth="1"/>
    <col min="20" max="20" width="6" customWidth="1"/>
    <col min="21" max="22" width="5" customWidth="1"/>
    <col min="23" max="23" width="6" customWidth="1"/>
    <col min="24" max="25" width="5" customWidth="1"/>
    <col min="26" max="26" width="6" customWidth="1"/>
    <col min="27" max="28" width="5" customWidth="1"/>
    <col min="29" max="29" width="6" customWidth="1"/>
    <col min="30" max="31" width="5" customWidth="1"/>
    <col min="32" max="32" width="6" customWidth="1"/>
    <col min="33" max="34" width="5" customWidth="1"/>
    <col min="35" max="35" width="6" customWidth="1"/>
    <col min="36" max="37" width="5" customWidth="1"/>
    <col min="38" max="38" width="6" customWidth="1"/>
    <col min="39" max="40" width="5" customWidth="1"/>
    <col min="41" max="41" width="6" customWidth="1"/>
    <col min="42" max="43" width="5" customWidth="1"/>
    <col min="44" max="44" width="6" customWidth="1"/>
    <col min="45" max="46" width="5" customWidth="1"/>
    <col min="47" max="47" width="6" customWidth="1"/>
    <col min="48" max="49" width="5" customWidth="1"/>
    <col min="50" max="50" width="6" customWidth="1"/>
    <col min="51" max="52" width="5" customWidth="1"/>
    <col min="53" max="53" width="6" customWidth="1"/>
    <col min="54" max="54" width="7" customWidth="1"/>
    <col min="55" max="56" width="6" customWidth="1"/>
    <col min="57" max="57" width="8" customWidth="1"/>
    <col min="58" max="58" width="18" customWidth="1"/>
  </cols>
  <sheetData>
    <row r="2" ht="3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34" customHeight="1" spans="2:58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9</v>
      </c>
      <c r="Y4" s="4"/>
      <c r="Z4" s="4"/>
      <c r="AA4" s="4"/>
      <c r="AB4" s="4"/>
      <c r="AC4" s="4"/>
      <c r="AD4" s="4"/>
      <c r="AE4" s="4"/>
      <c r="AF4" s="4"/>
      <c r="AG4" s="5" t="s">
        <v>10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2" t="s">
        <v>11</v>
      </c>
      <c r="BC4" s="2"/>
      <c r="BD4" s="2"/>
      <c r="BE4" s="2"/>
      <c r="BF4" s="6" t="s">
        <v>12</v>
      </c>
    </row>
    <row r="5" ht="64" customHeight="1" spans="2:58" x14ac:dyDescent="0.25">
      <c r="B5" s="2"/>
      <c r="C5" s="2"/>
      <c r="D5" s="2"/>
      <c r="E5" s="2"/>
      <c r="F5" s="2"/>
      <c r="G5" s="2"/>
      <c r="H5" s="2"/>
      <c r="I5" s="3" t="s">
        <v>13</v>
      </c>
      <c r="J5" s="3"/>
      <c r="K5" s="3"/>
      <c r="L5" s="3" t="s">
        <v>14</v>
      </c>
      <c r="M5" s="3"/>
      <c r="N5" s="3"/>
      <c r="O5" s="3" t="s">
        <v>15</v>
      </c>
      <c r="P5" s="3"/>
      <c r="Q5" s="3"/>
      <c r="R5" s="3" t="s">
        <v>16</v>
      </c>
      <c r="S5" s="3"/>
      <c r="T5" s="3"/>
      <c r="U5" s="3" t="s">
        <v>17</v>
      </c>
      <c r="V5" s="3"/>
      <c r="W5" s="3"/>
      <c r="X5" s="4" t="s">
        <v>18</v>
      </c>
      <c r="Y5" s="4"/>
      <c r="Z5" s="4"/>
      <c r="AA5" s="4" t="s">
        <v>19</v>
      </c>
      <c r="AB5" s="4"/>
      <c r="AC5" s="4"/>
      <c r="AD5" s="4" t="s">
        <v>20</v>
      </c>
      <c r="AE5" s="4"/>
      <c r="AF5" s="4"/>
      <c r="AG5" s="5" t="s">
        <v>21</v>
      </c>
      <c r="AH5" s="5"/>
      <c r="AI5" s="5"/>
      <c r="AJ5" s="5" t="s">
        <v>22</v>
      </c>
      <c r="AK5" s="5"/>
      <c r="AL5" s="5"/>
      <c r="AM5" s="5" t="s">
        <v>23</v>
      </c>
      <c r="AN5" s="5"/>
      <c r="AO5" s="5"/>
      <c r="AP5" s="5" t="s">
        <v>24</v>
      </c>
      <c r="AQ5" s="5"/>
      <c r="AR5" s="5"/>
      <c r="AS5" s="5" t="s">
        <v>25</v>
      </c>
      <c r="AT5" s="5"/>
      <c r="AU5" s="5"/>
      <c r="AV5" s="5" t="s">
        <v>26</v>
      </c>
      <c r="AW5" s="5"/>
      <c r="AX5" s="5"/>
      <c r="AY5" s="5" t="s">
        <v>27</v>
      </c>
      <c r="AZ5" s="5"/>
      <c r="BA5" s="5"/>
      <c r="BB5" s="2"/>
      <c r="BC5" s="2"/>
      <c r="BD5" s="2"/>
      <c r="BE5" s="2"/>
      <c r="BF5" s="6"/>
    </row>
    <row r="6" ht="30" customHeight="1" spans="2:58" x14ac:dyDescent="0.25">
      <c r="B6" s="2"/>
      <c r="C6" s="2"/>
      <c r="D6" s="2"/>
      <c r="E6" s="2"/>
      <c r="F6" s="2"/>
      <c r="G6" s="2"/>
      <c r="H6" s="2"/>
      <c r="I6" s="3" t="s">
        <v>28</v>
      </c>
      <c r="J6" s="3" t="s">
        <v>29</v>
      </c>
      <c r="K6" s="3" t="s">
        <v>30</v>
      </c>
      <c r="L6" s="3" t="s">
        <v>28</v>
      </c>
      <c r="M6" s="3" t="s">
        <v>29</v>
      </c>
      <c r="N6" s="3" t="s">
        <v>30</v>
      </c>
      <c r="O6" s="3" t="s">
        <v>28</v>
      </c>
      <c r="P6" s="3" t="s">
        <v>29</v>
      </c>
      <c r="Q6" s="3" t="s">
        <v>30</v>
      </c>
      <c r="R6" s="3" t="s">
        <v>28</v>
      </c>
      <c r="S6" s="3" t="s">
        <v>29</v>
      </c>
      <c r="T6" s="3" t="s">
        <v>30</v>
      </c>
      <c r="U6" s="3" t="s">
        <v>28</v>
      </c>
      <c r="V6" s="3" t="s">
        <v>29</v>
      </c>
      <c r="W6" s="3" t="s">
        <v>30</v>
      </c>
      <c r="X6" s="4" t="s">
        <v>28</v>
      </c>
      <c r="Y6" s="4" t="s">
        <v>29</v>
      </c>
      <c r="Z6" s="4" t="s">
        <v>30</v>
      </c>
      <c r="AA6" s="4" t="s">
        <v>28</v>
      </c>
      <c r="AB6" s="4" t="s">
        <v>29</v>
      </c>
      <c r="AC6" s="4" t="s">
        <v>30</v>
      </c>
      <c r="AD6" s="4" t="s">
        <v>28</v>
      </c>
      <c r="AE6" s="4" t="s">
        <v>29</v>
      </c>
      <c r="AF6" s="4" t="s">
        <v>30</v>
      </c>
      <c r="AG6" s="5" t="s">
        <v>28</v>
      </c>
      <c r="AH6" s="5" t="s">
        <v>29</v>
      </c>
      <c r="AI6" s="5" t="s">
        <v>30</v>
      </c>
      <c r="AJ6" s="5" t="s">
        <v>28</v>
      </c>
      <c r="AK6" s="5" t="s">
        <v>29</v>
      </c>
      <c r="AL6" s="5" t="s">
        <v>30</v>
      </c>
      <c r="AM6" s="5" t="s">
        <v>28</v>
      </c>
      <c r="AN6" s="5" t="s">
        <v>29</v>
      </c>
      <c r="AO6" s="5" t="s">
        <v>30</v>
      </c>
      <c r="AP6" s="5" t="s">
        <v>28</v>
      </c>
      <c r="AQ6" s="5" t="s">
        <v>29</v>
      </c>
      <c r="AR6" s="5" t="s">
        <v>30</v>
      </c>
      <c r="AS6" s="5" t="s">
        <v>28</v>
      </c>
      <c r="AT6" s="5" t="s">
        <v>29</v>
      </c>
      <c r="AU6" s="5" t="s">
        <v>30</v>
      </c>
      <c r="AV6" s="5" t="s">
        <v>28</v>
      </c>
      <c r="AW6" s="5" t="s">
        <v>29</v>
      </c>
      <c r="AX6" s="5" t="s">
        <v>30</v>
      </c>
      <c r="AY6" s="5" t="s">
        <v>28</v>
      </c>
      <c r="AZ6" s="5" t="s">
        <v>29</v>
      </c>
      <c r="BA6" s="5" t="s">
        <v>30</v>
      </c>
      <c r="BB6" s="2" t="s">
        <v>31</v>
      </c>
      <c r="BC6" s="2" t="s">
        <v>28</v>
      </c>
      <c r="BD6" s="2" t="s">
        <v>29</v>
      </c>
      <c r="BE6" s="2" t="s">
        <v>30</v>
      </c>
      <c r="BF6" s="6"/>
    </row>
    <row r="7" spans="2:58" x14ac:dyDescent="0.25">
      <c r="B7" s="7" t="s">
        <v>32</v>
      </c>
      <c r="C7" s="7"/>
      <c r="D7" s="7"/>
      <c r="E7" s="7">
        <f>COUNTA(E8:E143)</f>
      </c>
      <c r="F7" s="7"/>
      <c r="G7" s="7">
        <f>COUNTIF(G8:G143,"O")</f>
      </c>
      <c r="H7" s="7">
        <f>COUNTA(H8:H143)</f>
      </c>
      <c r="I7" s="7">
        <f>COUNTA(I8:I143)</f>
      </c>
      <c r="J7" s="7">
        <f>COUNTA(J8:J143)</f>
      </c>
      <c r="K7" s="7">
        <f>COUNTA(K8:K143)</f>
      </c>
      <c r="L7" s="7">
        <f>COUNTA(L8:L143)</f>
      </c>
      <c r="M7" s="7">
        <f>COUNTA(M8:M143)</f>
      </c>
      <c r="N7" s="7">
        <f>COUNTA(N8:N143)</f>
      </c>
      <c r="O7" s="7">
        <f>COUNTA(O8:O143)</f>
      </c>
      <c r="P7" s="7">
        <f>COUNTA(P8:P143)</f>
      </c>
      <c r="Q7" s="7">
        <f>COUNTA(Q8:Q143)</f>
      </c>
      <c r="R7" s="7">
        <f>COUNTA(R8:R143)</f>
      </c>
      <c r="S7" s="7">
        <f>COUNTA(S8:S143)</f>
      </c>
      <c r="T7" s="7">
        <f>COUNTA(T8:T143)</f>
      </c>
      <c r="U7" s="7">
        <f>COUNTA(U8:U143)</f>
      </c>
      <c r="V7" s="7">
        <f>COUNTA(V8:V143)</f>
      </c>
      <c r="W7" s="7">
        <f>COUNTA(W8:W143)</f>
      </c>
      <c r="X7" s="7">
        <f>COUNTA(X8:X143)</f>
      </c>
      <c r="Y7" s="7">
        <f>COUNTA(Y8:Y143)</f>
      </c>
      <c r="Z7" s="7">
        <f>COUNTA(Z8:Z143)</f>
      </c>
      <c r="AA7" s="7">
        <f>COUNTA(AA8:AA143)</f>
      </c>
      <c r="AB7" s="7">
        <f>COUNTA(AB8:AB143)</f>
      </c>
      <c r="AC7" s="7">
        <f>COUNTA(AC8:AC143)</f>
      </c>
      <c r="AD7" s="7">
        <f>COUNTA(AD8:AD143)</f>
      </c>
      <c r="AE7" s="7">
        <f>COUNTA(AE8:AE143)</f>
      </c>
      <c r="AF7" s="7">
        <f>COUNTA(AF8:AF143)</f>
      </c>
      <c r="AG7" s="7">
        <f>COUNTA(AG8:AG143)</f>
      </c>
      <c r="AH7" s="7">
        <f>COUNTA(AH8:AH143)</f>
      </c>
      <c r="AI7" s="7">
        <f>COUNTA(AI8:AI143)</f>
      </c>
      <c r="AJ7" s="7">
        <f>COUNTA(AJ8:AJ143)</f>
      </c>
      <c r="AK7" s="7">
        <f>COUNTA(AK8:AK143)</f>
      </c>
      <c r="AL7" s="7">
        <f>COUNTA(AL8:AL143)</f>
      </c>
      <c r="AM7" s="7">
        <f>COUNTA(AM8:AM143)</f>
      </c>
      <c r="AN7" s="7">
        <f>COUNTA(AN8:AN143)</f>
      </c>
      <c r="AO7" s="7">
        <f>COUNTA(AO8:AO143)</f>
      </c>
      <c r="AP7" s="7">
        <f>COUNTA(AP8:AP143)</f>
      </c>
      <c r="AQ7" s="7">
        <f>COUNTA(AQ8:AQ143)</f>
      </c>
      <c r="AR7" s="7">
        <f>COUNTA(AR8:AR143)</f>
      </c>
      <c r="AS7" s="7">
        <f>COUNTA(AS8:AS143)</f>
      </c>
      <c r="AT7" s="7">
        <f>COUNTA(AT8:AT143)</f>
      </c>
      <c r="AU7" s="7">
        <f>COUNTA(AU8:AU143)</f>
      </c>
      <c r="AV7" s="7">
        <f>COUNTA(AV8:AV143)</f>
      </c>
      <c r="AW7" s="7">
        <f>COUNTA(AW8:AW143)</f>
      </c>
      <c r="AX7" s="7">
        <f>COUNTA(AX8:AX143)</f>
      </c>
      <c r="AY7" s="7">
        <f>COUNTA(AY8:AY143)</f>
      </c>
      <c r="AZ7" s="7">
        <f>COUNTA(AZ8:AZ143)</f>
      </c>
      <c r="BA7" s="7">
        <f>COUNTA(BA8:BA143)</f>
      </c>
      <c r="BB7" s="7">
        <f>SUM(BC7:BE7)</f>
      </c>
      <c r="BC7" s="7">
        <f>SUM(BC8:BC143)</f>
      </c>
      <c r="BD7" s="7">
        <f>SUM(BD8:BD143)</f>
      </c>
      <c r="BE7" s="7">
        <f>SUM(BE8:BE143)</f>
      </c>
      <c r="BF7" s="7"/>
    </row>
    <row r="8" spans="2:58" x14ac:dyDescent="0.25">
      <c r="B8" s="8" t="s">
        <v>33</v>
      </c>
      <c r="C8" s="8" t="s">
        <v>34</v>
      </c>
      <c r="D8" s="9" t="s">
        <v>35</v>
      </c>
      <c r="E8" s="9" t="s">
        <v>36</v>
      </c>
      <c r="F8" s="8" t="s">
        <v>37</v>
      </c>
      <c r="G8" s="8" t="s">
        <v>38</v>
      </c>
      <c r="H8" s="10" t="s">
        <v>39</v>
      </c>
      <c r="I8" s="11" t="s">
        <v>38</v>
      </c>
      <c r="J8" s="11"/>
      <c r="K8" s="11"/>
      <c r="L8" s="11" t="s">
        <v>38</v>
      </c>
      <c r="M8" s="11"/>
      <c r="N8" s="11"/>
      <c r="O8" s="11" t="s">
        <v>38</v>
      </c>
      <c r="P8" s="11"/>
      <c r="Q8" s="11"/>
      <c r="R8" s="11" t="s">
        <v>38</v>
      </c>
      <c r="S8" s="11"/>
      <c r="T8" s="11"/>
      <c r="U8" s="11" t="s">
        <v>38</v>
      </c>
      <c r="V8" s="11"/>
      <c r="W8" s="11"/>
      <c r="X8" s="12" t="s">
        <v>38</v>
      </c>
      <c r="Y8" s="12"/>
      <c r="Z8" s="12"/>
      <c r="AA8" s="12" t="s">
        <v>38</v>
      </c>
      <c r="AB8" s="12"/>
      <c r="AC8" s="12"/>
      <c r="AD8" s="12" t="s">
        <v>38</v>
      </c>
      <c r="AE8" s="12"/>
      <c r="AF8" s="12"/>
      <c r="AG8" s="13" t="s">
        <v>38</v>
      </c>
      <c r="AH8" s="13"/>
      <c r="AI8" s="13"/>
      <c r="AJ8" s="13" t="s">
        <v>38</v>
      </c>
      <c r="AK8" s="13"/>
      <c r="AL8" s="13"/>
      <c r="AM8" s="13" t="s">
        <v>38</v>
      </c>
      <c r="AN8" s="13"/>
      <c r="AO8" s="13"/>
      <c r="AP8" s="13" t="s">
        <v>38</v>
      </c>
      <c r="AQ8" s="13"/>
      <c r="AR8" s="13"/>
      <c r="AS8" s="13" t="s">
        <v>38</v>
      </c>
      <c r="AT8" s="13"/>
      <c r="AU8" s="13"/>
      <c r="AV8" s="13" t="s">
        <v>38</v>
      </c>
      <c r="AW8" s="13"/>
      <c r="AX8" s="13"/>
      <c r="AY8" s="13" t="s">
        <v>38</v>
      </c>
      <c r="AZ8" s="13"/>
      <c r="BA8" s="13"/>
      <c r="BB8" s="14">
        <f>SUM(BC8:BE8)</f>
      </c>
      <c r="BC8" s="14">
        <f>COUNTA(I8,L8,O8,R8,U8,X8,AA8,AD8,AG8,AJ8,AM8,AP8,AS8,AV8,AY8,J8,M8,P8,S8,V8,Y8,AB8,AE8,AH8,AK8,AN8,AQ8,AT8,AW8,AZ8)</f>
      </c>
      <c r="BD8" s="14">
        <v>0</v>
      </c>
      <c r="BE8" s="14">
        <f>COUNTA(K8,N8,Q8,T8,W8,Z8,AC8,AF8,AI8,AL8,AO8,AR8,AU8,AX8,BA8)</f>
      </c>
      <c r="BF8" s="8" t="s">
        <v>40</v>
      </c>
    </row>
    <row r="9" spans="2:58" x14ac:dyDescent="0.25">
      <c r="B9" s="8" t="s">
        <v>33</v>
      </c>
      <c r="C9" s="8" t="s">
        <v>34</v>
      </c>
      <c r="D9" s="9" t="s">
        <v>35</v>
      </c>
      <c r="E9" s="9" t="s">
        <v>41</v>
      </c>
      <c r="F9" s="8" t="s">
        <v>42</v>
      </c>
      <c r="G9" s="8" t="s">
        <v>38</v>
      </c>
      <c r="H9" s="10" t="s">
        <v>43</v>
      </c>
      <c r="I9" s="11" t="s">
        <v>38</v>
      </c>
      <c r="J9" s="11"/>
      <c r="K9" s="11"/>
      <c r="L9" s="11" t="s">
        <v>38</v>
      </c>
      <c r="M9" s="11"/>
      <c r="N9" s="11"/>
      <c r="O9" s="11" t="s">
        <v>38</v>
      </c>
      <c r="P9" s="11"/>
      <c r="Q9" s="11"/>
      <c r="R9" s="11" t="s">
        <v>38</v>
      </c>
      <c r="S9" s="11"/>
      <c r="T9" s="11"/>
      <c r="U9" s="11" t="s">
        <v>38</v>
      </c>
      <c r="V9" s="11"/>
      <c r="W9" s="11"/>
      <c r="X9" s="12" t="s">
        <v>38</v>
      </c>
      <c r="Y9" s="12"/>
      <c r="Z9" s="12"/>
      <c r="AA9" s="12" t="s">
        <v>38</v>
      </c>
      <c r="AB9" s="12"/>
      <c r="AC9" s="12"/>
      <c r="AD9" s="12" t="s">
        <v>38</v>
      </c>
      <c r="AE9" s="12"/>
      <c r="AF9" s="12"/>
      <c r="AG9" s="13" t="s">
        <v>38</v>
      </c>
      <c r="AH9" s="13"/>
      <c r="AI9" s="13"/>
      <c r="AJ9" s="13" t="s">
        <v>38</v>
      </c>
      <c r="AK9" s="13"/>
      <c r="AL9" s="13"/>
      <c r="AM9" s="13" t="s">
        <v>38</v>
      </c>
      <c r="AN9" s="13"/>
      <c r="AO9" s="13"/>
      <c r="AP9" s="13" t="s">
        <v>38</v>
      </c>
      <c r="AQ9" s="13"/>
      <c r="AR9" s="13"/>
      <c r="AS9" s="13" t="s">
        <v>38</v>
      </c>
      <c r="AT9" s="13"/>
      <c r="AU9" s="13"/>
      <c r="AV9" s="13" t="s">
        <v>38</v>
      </c>
      <c r="AW9" s="13"/>
      <c r="AX9" s="13"/>
      <c r="AY9" s="13" t="s">
        <v>38</v>
      </c>
      <c r="AZ9" s="13"/>
      <c r="BA9" s="13"/>
      <c r="BB9" s="14">
        <f>SUM(BC9:BE9)</f>
      </c>
      <c r="BC9" s="14">
        <f>COUNTA(I9,L9,O9,R9,U9,X9,AA9,AD9,AG9,AJ9,AM9,AP9,AS9,AV9,AY9,J9,M9,P9,S9,V9,Y9,AB9,AE9,AH9,AK9,AN9,AQ9,AT9,AW9,AZ9)</f>
      </c>
      <c r="BD9" s="14">
        <v>0</v>
      </c>
      <c r="BE9" s="14">
        <f>COUNTA(K9,N9,Q9,T9,W9,Z9,AC9,AF9,AI9,AL9,AO9,AR9,AU9,AX9,BA9)</f>
      </c>
      <c r="BF9" s="8" t="s">
        <v>40</v>
      </c>
    </row>
    <row r="10" spans="2:58" x14ac:dyDescent="0.25">
      <c r="B10" s="8" t="s">
        <v>33</v>
      </c>
      <c r="C10" s="8" t="s">
        <v>34</v>
      </c>
      <c r="D10" s="9" t="s">
        <v>44</v>
      </c>
      <c r="E10" s="9" t="s">
        <v>45</v>
      </c>
      <c r="F10" s="8" t="s">
        <v>46</v>
      </c>
      <c r="G10" s="8" t="s">
        <v>38</v>
      </c>
      <c r="H10" s="10" t="s">
        <v>43</v>
      </c>
      <c r="I10" s="11" t="s">
        <v>38</v>
      </c>
      <c r="J10" s="11"/>
      <c r="K10" s="11"/>
      <c r="L10" s="11" t="s">
        <v>38</v>
      </c>
      <c r="M10" s="11"/>
      <c r="N10" s="11"/>
      <c r="O10" s="11" t="s">
        <v>38</v>
      </c>
      <c r="P10" s="11"/>
      <c r="Q10" s="11"/>
      <c r="R10" s="11" t="s">
        <v>38</v>
      </c>
      <c r="S10" s="11"/>
      <c r="T10" s="11"/>
      <c r="U10" s="11" t="s">
        <v>38</v>
      </c>
      <c r="V10" s="11"/>
      <c r="W10" s="11"/>
      <c r="X10" s="12" t="s">
        <v>38</v>
      </c>
      <c r="Y10" s="12"/>
      <c r="Z10" s="12"/>
      <c r="AA10" s="12" t="s">
        <v>38</v>
      </c>
      <c r="AB10" s="12"/>
      <c r="AC10" s="12"/>
      <c r="AD10" s="12" t="s">
        <v>38</v>
      </c>
      <c r="AE10" s="12"/>
      <c r="AF10" s="12"/>
      <c r="AG10" s="13" t="s">
        <v>38</v>
      </c>
      <c r="AH10" s="13"/>
      <c r="AI10" s="13"/>
      <c r="AJ10" s="13" t="s">
        <v>38</v>
      </c>
      <c r="AK10" s="13"/>
      <c r="AL10" s="13"/>
      <c r="AM10" s="13" t="s">
        <v>38</v>
      </c>
      <c r="AN10" s="13"/>
      <c r="AO10" s="13"/>
      <c r="AP10" s="13" t="s">
        <v>38</v>
      </c>
      <c r="AQ10" s="13"/>
      <c r="AR10" s="13"/>
      <c r="AS10" s="13" t="s">
        <v>38</v>
      </c>
      <c r="AT10" s="13"/>
      <c r="AU10" s="13"/>
      <c r="AV10" s="13" t="s">
        <v>38</v>
      </c>
      <c r="AW10" s="13"/>
      <c r="AX10" s="13"/>
      <c r="AY10" s="13" t="s">
        <v>38</v>
      </c>
      <c r="AZ10" s="13"/>
      <c r="BA10" s="13"/>
      <c r="BB10" s="14">
        <f>SUM(BC10:BE10)</f>
      </c>
      <c r="BC10" s="14">
        <f>COUNTA(I10,L10,O10,R10,U10,X10,AA10,AD10,AG10,AJ10,AM10,AP10,AS10,AV10,AY10,J10,M10,P10,S10,V10,Y10,AB10,AE10,AH10,AK10,AN10,AQ10,AT10,AW10,AZ10)</f>
      </c>
      <c r="BD10" s="14">
        <v>0</v>
      </c>
      <c r="BE10" s="14">
        <f>COUNTA(K10,N10,Q10,T10,W10,Z10,AC10,AF10,AI10,AL10,AO10,AR10,AU10,AX10,BA10)</f>
      </c>
      <c r="BF10" s="8" t="s">
        <v>40</v>
      </c>
    </row>
    <row r="11" spans="2:58" x14ac:dyDescent="0.25">
      <c r="B11" s="8" t="s">
        <v>33</v>
      </c>
      <c r="C11" s="8" t="s">
        <v>34</v>
      </c>
      <c r="D11" s="9" t="s">
        <v>44</v>
      </c>
      <c r="E11" s="9" t="s">
        <v>47</v>
      </c>
      <c r="F11" s="8" t="s">
        <v>48</v>
      </c>
      <c r="G11" s="8" t="s">
        <v>38</v>
      </c>
      <c r="H11" s="10" t="s">
        <v>49</v>
      </c>
      <c r="I11" s="11" t="s">
        <v>38</v>
      </c>
      <c r="J11" s="11"/>
      <c r="K11" s="11"/>
      <c r="L11" s="11" t="s">
        <v>38</v>
      </c>
      <c r="M11" s="11"/>
      <c r="N11" s="11"/>
      <c r="O11" s="11" t="s">
        <v>38</v>
      </c>
      <c r="P11" s="11"/>
      <c r="Q11" s="11"/>
      <c r="R11" s="11" t="s">
        <v>38</v>
      </c>
      <c r="S11" s="11"/>
      <c r="T11" s="11"/>
      <c r="U11" s="11" t="s">
        <v>38</v>
      </c>
      <c r="V11" s="11"/>
      <c r="W11" s="11"/>
      <c r="X11" s="12" t="s">
        <v>38</v>
      </c>
      <c r="Y11" s="12"/>
      <c r="Z11" s="12"/>
      <c r="AA11" s="12" t="s">
        <v>38</v>
      </c>
      <c r="AB11" s="12"/>
      <c r="AC11" s="12"/>
      <c r="AD11" s="12" t="s">
        <v>38</v>
      </c>
      <c r="AE11" s="12"/>
      <c r="AF11" s="12"/>
      <c r="AG11" s="13" t="s">
        <v>38</v>
      </c>
      <c r="AH11" s="13"/>
      <c r="AI11" s="13"/>
      <c r="AJ11" s="13" t="s">
        <v>38</v>
      </c>
      <c r="AK11" s="13"/>
      <c r="AL11" s="13"/>
      <c r="AM11" s="13" t="s">
        <v>38</v>
      </c>
      <c r="AN11" s="13"/>
      <c r="AO11" s="13"/>
      <c r="AP11" s="13" t="s">
        <v>38</v>
      </c>
      <c r="AQ11" s="13"/>
      <c r="AR11" s="13"/>
      <c r="AS11" s="13" t="s">
        <v>38</v>
      </c>
      <c r="AT11" s="13"/>
      <c r="AU11" s="13"/>
      <c r="AV11" s="13" t="s">
        <v>38</v>
      </c>
      <c r="AW11" s="13"/>
      <c r="AX11" s="13"/>
      <c r="AY11" s="13" t="s">
        <v>38</v>
      </c>
      <c r="AZ11" s="13"/>
      <c r="BA11" s="13"/>
      <c r="BB11" s="14">
        <f>SUM(BC11:BE11)</f>
      </c>
      <c r="BC11" s="14">
        <f>COUNTA(I11,L11,O11,R11,U11,X11,AA11,AD11,AG11,AJ11,AM11,AP11,AS11,AV11,AY11,J11,M11,P11,S11,V11,Y11,AB11,AE11,AH11,AK11,AN11,AQ11,AT11,AW11,AZ11)</f>
      </c>
      <c r="BD11" s="14">
        <v>0</v>
      </c>
      <c r="BE11" s="14">
        <f>COUNTA(K11,N11,Q11,T11,W11,Z11,AC11,AF11,AI11,AL11,AO11,AR11,AU11,AX11,BA11)</f>
      </c>
      <c r="BF11" s="8" t="s">
        <v>40</v>
      </c>
    </row>
    <row r="12" spans="2:58" x14ac:dyDescent="0.25">
      <c r="B12" s="8" t="s">
        <v>33</v>
      </c>
      <c r="C12" s="8" t="s">
        <v>34</v>
      </c>
      <c r="D12" s="9" t="s">
        <v>44</v>
      </c>
      <c r="E12" s="9" t="s">
        <v>50</v>
      </c>
      <c r="F12" s="8" t="s">
        <v>51</v>
      </c>
      <c r="G12" s="8" t="s">
        <v>52</v>
      </c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2"/>
      <c r="AC12" s="12"/>
      <c r="AD12" s="12"/>
      <c r="AE12" s="12"/>
      <c r="AF12" s="12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4">
        <f>SUM(BC12:BE12)</f>
      </c>
      <c r="BC12" s="14">
        <f>COUNTA(I12,L12,O12,R12,U12,X12,AA12,AD12,AG12,AJ12,AM12,AP12,AS12,AV12,AY12,J12,M12,P12,S12,V12,Y12,AB12,AE12,AH12,AK12,AN12,AQ12,AT12,AW12,AZ12)</f>
      </c>
      <c r="BD12" s="14">
        <v>0</v>
      </c>
      <c r="BE12" s="14">
        <f>COUNTA(K12,N12,Q12,T12,W12,Z12,AC12,AF12,AI12,AL12,AO12,AR12,AU12,AX12,BA12)</f>
      </c>
      <c r="BF12" s="8" t="s">
        <v>40</v>
      </c>
    </row>
    <row r="13" spans="2:58" x14ac:dyDescent="0.25">
      <c r="B13" s="8" t="s">
        <v>33</v>
      </c>
      <c r="C13" s="8" t="s">
        <v>34</v>
      </c>
      <c r="D13" s="9" t="s">
        <v>44</v>
      </c>
      <c r="E13" s="9" t="s">
        <v>53</v>
      </c>
      <c r="F13" s="8" t="s">
        <v>54</v>
      </c>
      <c r="G13" s="8" t="s">
        <v>52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2"/>
      <c r="Z13" s="12"/>
      <c r="AA13" s="12"/>
      <c r="AB13" s="12"/>
      <c r="AC13" s="12"/>
      <c r="AD13" s="12"/>
      <c r="AE13" s="12"/>
      <c r="AF13" s="12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4">
        <f>SUM(BC13:BE13)</f>
      </c>
      <c r="BC13" s="14">
        <f>COUNTA(I13,L13,O13,R13,U13,X13,AA13,AD13,AG13,AJ13,AM13,AP13,AS13,AV13,AY13,J13,M13,P13,S13,V13,Y13,AB13,AE13,AH13,AK13,AN13,AQ13,AT13,AW13,AZ13)</f>
      </c>
      <c r="BD13" s="14">
        <v>0</v>
      </c>
      <c r="BE13" s="14">
        <f>COUNTA(K13,N13,Q13,T13,W13,Z13,AC13,AF13,AI13,AL13,AO13,AR13,AU13,AX13,BA13)</f>
      </c>
      <c r="BF13" s="8" t="s">
        <v>40</v>
      </c>
    </row>
    <row r="14" spans="2:58" x14ac:dyDescent="0.25">
      <c r="B14" s="8" t="s">
        <v>33</v>
      </c>
      <c r="C14" s="8" t="s">
        <v>34</v>
      </c>
      <c r="D14" s="9" t="s">
        <v>35</v>
      </c>
      <c r="E14" s="9" t="s">
        <v>55</v>
      </c>
      <c r="F14" s="8" t="s">
        <v>56</v>
      </c>
      <c r="G14" s="8" t="s">
        <v>52</v>
      </c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2"/>
      <c r="Z14" s="12"/>
      <c r="AA14" s="12"/>
      <c r="AB14" s="12"/>
      <c r="AC14" s="12"/>
      <c r="AD14" s="12"/>
      <c r="AE14" s="12"/>
      <c r="AF14" s="12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4">
        <f>SUM(BC14:BE14)</f>
      </c>
      <c r="BC14" s="14">
        <f>COUNTA(I14,L14,O14,R14,U14,X14,AA14,AD14,AG14,AJ14,AM14,AP14,AS14,AV14,AY14,J14,M14,P14,S14,V14,Y14,AB14,AE14,AH14,AK14,AN14,AQ14,AT14,AW14,AZ14)</f>
      </c>
      <c r="BD14" s="14">
        <v>0</v>
      </c>
      <c r="BE14" s="14">
        <f>COUNTA(K14,N14,Q14,T14,W14,Z14,AC14,AF14,AI14,AL14,AO14,AR14,AU14,AX14,BA14)</f>
      </c>
      <c r="BF14" s="8" t="s">
        <v>40</v>
      </c>
    </row>
    <row r="15" spans="2:58" x14ac:dyDescent="0.25">
      <c r="B15" s="8" t="s">
        <v>33</v>
      </c>
      <c r="C15" s="8" t="s">
        <v>34</v>
      </c>
      <c r="D15" s="9" t="s">
        <v>57</v>
      </c>
      <c r="E15" s="9" t="s">
        <v>58</v>
      </c>
      <c r="F15" s="8" t="s">
        <v>59</v>
      </c>
      <c r="G15" s="8" t="s">
        <v>52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2"/>
      <c r="Z15" s="12"/>
      <c r="AA15" s="12"/>
      <c r="AB15" s="12"/>
      <c r="AC15" s="12"/>
      <c r="AD15" s="12"/>
      <c r="AE15" s="12"/>
      <c r="AF15" s="12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4">
        <f>SUM(BC15:BE15)</f>
      </c>
      <c r="BC15" s="14">
        <f>COUNTA(I15,L15,O15,R15,U15,X15,AA15,AD15,AG15,AJ15,AM15,AP15,AS15,AV15,AY15,J15,M15,P15,S15,V15,Y15,AB15,AE15,AH15,AK15,AN15,AQ15,AT15,AW15,AZ15)</f>
      </c>
      <c r="BD15" s="14">
        <v>0</v>
      </c>
      <c r="BE15" s="14">
        <f>COUNTA(K15,N15,Q15,T15,W15,Z15,AC15,AF15,AI15,AL15,AO15,AR15,AU15,AX15,BA15)</f>
      </c>
      <c r="BF15" s="8" t="s">
        <v>40</v>
      </c>
    </row>
    <row r="16" spans="2:58" x14ac:dyDescent="0.25">
      <c r="B16" s="8" t="s">
        <v>33</v>
      </c>
      <c r="C16" s="8" t="s">
        <v>34</v>
      </c>
      <c r="D16" s="9" t="s">
        <v>40</v>
      </c>
      <c r="E16" s="9" t="s">
        <v>60</v>
      </c>
      <c r="F16" s="8" t="s">
        <v>61</v>
      </c>
      <c r="G16" s="8" t="s">
        <v>52</v>
      </c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2"/>
      <c r="Z16" s="12"/>
      <c r="AA16" s="12"/>
      <c r="AB16" s="12"/>
      <c r="AC16" s="12"/>
      <c r="AD16" s="12"/>
      <c r="AE16" s="12"/>
      <c r="AF16" s="12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4">
        <f>SUM(BC16:BE16)</f>
      </c>
      <c r="BC16" s="14">
        <f>COUNTA(I16,L16,O16,R16,U16,X16,AA16,AD16,AG16,AJ16,AM16,AP16,AS16,AV16,AY16,J16,M16,P16,S16,V16,Y16,AB16,AE16,AH16,AK16,AN16,AQ16,AT16,AW16,AZ16)</f>
      </c>
      <c r="BD16" s="14">
        <v>0</v>
      </c>
      <c r="BE16" s="14">
        <f>COUNTA(K16,N16,Q16,T16,W16,Z16,AC16,AF16,AI16,AL16,AO16,AR16,AU16,AX16,BA16)</f>
      </c>
      <c r="BF16" s="8" t="s">
        <v>40</v>
      </c>
    </row>
    <row r="17" spans="2:58" x14ac:dyDescent="0.25">
      <c r="B17" s="8" t="s">
        <v>33</v>
      </c>
      <c r="C17" s="8" t="s">
        <v>34</v>
      </c>
      <c r="D17" s="9" t="s">
        <v>40</v>
      </c>
      <c r="E17" s="9" t="s">
        <v>62</v>
      </c>
      <c r="F17" s="8" t="s">
        <v>63</v>
      </c>
      <c r="G17" s="8" t="s">
        <v>52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12"/>
      <c r="Z17" s="12"/>
      <c r="AA17" s="12"/>
      <c r="AB17" s="12"/>
      <c r="AC17" s="12"/>
      <c r="AD17" s="12"/>
      <c r="AE17" s="12"/>
      <c r="AF17" s="12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4">
        <f>SUM(BC17:BE17)</f>
      </c>
      <c r="BC17" s="14">
        <f>COUNTA(I17,L17,O17,R17,U17,X17,AA17,AD17,AG17,AJ17,AM17,AP17,AS17,AV17,AY17,J17,M17,P17,S17,V17,Y17,AB17,AE17,AH17,AK17,AN17,AQ17,AT17,AW17,AZ17)</f>
      </c>
      <c r="BD17" s="14">
        <v>0</v>
      </c>
      <c r="BE17" s="14">
        <f>COUNTA(K17,N17,Q17,T17,W17,Z17,AC17,AF17,AI17,AL17,AO17,AR17,AU17,AX17,BA17)</f>
      </c>
      <c r="BF17" s="8" t="s">
        <v>40</v>
      </c>
    </row>
    <row r="18" spans="2:58" x14ac:dyDescent="0.25">
      <c r="B18" s="8" t="s">
        <v>33</v>
      </c>
      <c r="C18" s="8" t="s">
        <v>34</v>
      </c>
      <c r="D18" s="9" t="s">
        <v>40</v>
      </c>
      <c r="E18" s="9" t="s">
        <v>64</v>
      </c>
      <c r="F18" s="8" t="s">
        <v>65</v>
      </c>
      <c r="G18" s="8" t="s">
        <v>52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2"/>
      <c r="Y18" s="12"/>
      <c r="Z18" s="12"/>
      <c r="AA18" s="12"/>
      <c r="AB18" s="12"/>
      <c r="AC18" s="12"/>
      <c r="AD18" s="12"/>
      <c r="AE18" s="12"/>
      <c r="AF18" s="12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4">
        <f>SUM(BC18:BE18)</f>
      </c>
      <c r="BC18" s="14">
        <f>COUNTA(I18,L18,O18,R18,U18,X18,AA18,AD18,AG18,AJ18,AM18,AP18,AS18,AV18,AY18,J18,M18,P18,S18,V18,Y18,AB18,AE18,AH18,AK18,AN18,AQ18,AT18,AW18,AZ18)</f>
      </c>
      <c r="BD18" s="14">
        <v>0</v>
      </c>
      <c r="BE18" s="14">
        <f>COUNTA(K18,N18,Q18,T18,W18,Z18,AC18,AF18,AI18,AL18,AO18,AR18,AU18,AX18,BA18)</f>
      </c>
      <c r="BF18" s="8" t="s">
        <v>40</v>
      </c>
    </row>
    <row r="19" spans="2:58" x14ac:dyDescent="0.25">
      <c r="B19" s="8" t="s">
        <v>33</v>
      </c>
      <c r="C19" s="8" t="s">
        <v>66</v>
      </c>
      <c r="D19" s="9" t="s">
        <v>67</v>
      </c>
      <c r="E19" s="9" t="s">
        <v>68</v>
      </c>
      <c r="F19" s="8" t="s">
        <v>69</v>
      </c>
      <c r="G19" s="8" t="s">
        <v>38</v>
      </c>
      <c r="H19" s="10" t="s">
        <v>70</v>
      </c>
      <c r="I19" s="11" t="s">
        <v>38</v>
      </c>
      <c r="J19" s="11"/>
      <c r="K19" s="11"/>
      <c r="L19" s="11" t="s">
        <v>38</v>
      </c>
      <c r="M19" s="11"/>
      <c r="N19" s="11"/>
      <c r="O19" s="11" t="s">
        <v>38</v>
      </c>
      <c r="P19" s="11"/>
      <c r="Q19" s="11"/>
      <c r="R19" s="11" t="s">
        <v>38</v>
      </c>
      <c r="S19" s="11"/>
      <c r="T19" s="11"/>
      <c r="U19" s="11" t="s">
        <v>38</v>
      </c>
      <c r="V19" s="11"/>
      <c r="W19" s="11"/>
      <c r="X19" s="12" t="s">
        <v>38</v>
      </c>
      <c r="Y19" s="12"/>
      <c r="Z19" s="12"/>
      <c r="AA19" s="12" t="s">
        <v>38</v>
      </c>
      <c r="AB19" s="12"/>
      <c r="AC19" s="12"/>
      <c r="AD19" s="12" t="s">
        <v>38</v>
      </c>
      <c r="AE19" s="12"/>
      <c r="AF19" s="12"/>
      <c r="AG19" s="13" t="s">
        <v>38</v>
      </c>
      <c r="AH19" s="13"/>
      <c r="AI19" s="13"/>
      <c r="AJ19" s="13" t="s">
        <v>38</v>
      </c>
      <c r="AK19" s="13"/>
      <c r="AL19" s="13"/>
      <c r="AM19" s="13" t="s">
        <v>38</v>
      </c>
      <c r="AN19" s="13"/>
      <c r="AO19" s="13"/>
      <c r="AP19" s="13" t="s">
        <v>38</v>
      </c>
      <c r="AQ19" s="13"/>
      <c r="AR19" s="13"/>
      <c r="AS19" s="13" t="s">
        <v>38</v>
      </c>
      <c r="AT19" s="13"/>
      <c r="AU19" s="13"/>
      <c r="AV19" s="13" t="s">
        <v>38</v>
      </c>
      <c r="AW19" s="13"/>
      <c r="AX19" s="13"/>
      <c r="AY19" s="13" t="s">
        <v>38</v>
      </c>
      <c r="AZ19" s="13"/>
      <c r="BA19" s="13"/>
      <c r="BB19" s="14">
        <f>SUM(BC19:BE19)</f>
      </c>
      <c r="BC19" s="14">
        <f>COUNTA(I19,L19,O19,R19,U19,X19,AA19,AD19,AG19,AJ19,AM19,AP19,AS19,AV19,AY19,J19,M19,P19,S19,V19,Y19,AB19,AE19,AH19,AK19,AN19,AQ19,AT19,AW19,AZ19)</f>
      </c>
      <c r="BD19" s="14">
        <v>0</v>
      </c>
      <c r="BE19" s="14">
        <f>COUNTA(K19,N19,Q19,T19,W19,Z19,AC19,AF19,AI19,AL19,AO19,AR19,AU19,AX19,BA19)</f>
      </c>
      <c r="BF19" s="8" t="s">
        <v>40</v>
      </c>
    </row>
    <row r="20" spans="2:58" x14ac:dyDescent="0.25">
      <c r="B20" s="8" t="s">
        <v>33</v>
      </c>
      <c r="C20" s="8" t="s">
        <v>66</v>
      </c>
      <c r="D20" s="9" t="s">
        <v>67</v>
      </c>
      <c r="E20" s="9" t="s">
        <v>71</v>
      </c>
      <c r="F20" s="8" t="s">
        <v>72</v>
      </c>
      <c r="G20" s="8" t="s">
        <v>38</v>
      </c>
      <c r="H20" s="10" t="s">
        <v>43</v>
      </c>
      <c r="I20" s="11" t="s">
        <v>38</v>
      </c>
      <c r="J20" s="11"/>
      <c r="K20" s="11"/>
      <c r="L20" s="11" t="s">
        <v>38</v>
      </c>
      <c r="M20" s="11"/>
      <c r="N20" s="11"/>
      <c r="O20" s="11" t="s">
        <v>38</v>
      </c>
      <c r="P20" s="11"/>
      <c r="Q20" s="11"/>
      <c r="R20" s="11" t="s">
        <v>38</v>
      </c>
      <c r="S20" s="11"/>
      <c r="T20" s="11"/>
      <c r="U20" s="11" t="s">
        <v>38</v>
      </c>
      <c r="V20" s="11"/>
      <c r="W20" s="11"/>
      <c r="X20" s="12"/>
      <c r="Y20" s="12" t="s">
        <v>38</v>
      </c>
      <c r="Z20" s="12"/>
      <c r="AA20" s="12" t="s">
        <v>38</v>
      </c>
      <c r="AB20" s="12"/>
      <c r="AC20" s="12"/>
      <c r="AD20" s="12" t="s">
        <v>38</v>
      </c>
      <c r="AE20" s="12"/>
      <c r="AF20" s="12"/>
      <c r="AG20" s="13" t="s">
        <v>38</v>
      </c>
      <c r="AH20" s="13"/>
      <c r="AI20" s="13"/>
      <c r="AJ20" s="13" t="s">
        <v>38</v>
      </c>
      <c r="AK20" s="13"/>
      <c r="AL20" s="13"/>
      <c r="AM20" s="13" t="s">
        <v>38</v>
      </c>
      <c r="AN20" s="13"/>
      <c r="AO20" s="13"/>
      <c r="AP20" s="13" t="s">
        <v>38</v>
      </c>
      <c r="AQ20" s="13"/>
      <c r="AR20" s="13"/>
      <c r="AS20" s="13"/>
      <c r="AT20" s="13" t="s">
        <v>38</v>
      </c>
      <c r="AU20" s="13"/>
      <c r="AV20" s="13" t="s">
        <v>38</v>
      </c>
      <c r="AW20" s="13"/>
      <c r="AX20" s="13"/>
      <c r="AY20" s="13"/>
      <c r="AZ20" s="13" t="s">
        <v>38</v>
      </c>
      <c r="BA20" s="13"/>
      <c r="BB20" s="14">
        <f>SUM(BC20:BE20)</f>
      </c>
      <c r="BC20" s="14">
        <f>COUNTA(I20,L20,O20,R20,U20,X20,AA20,AD20,AG20,AJ20,AM20,AP20,AS20,AV20,AY20,J20,M20,P20,S20,V20,Y20,AB20,AE20,AH20,AK20,AN20,AQ20,AT20,AW20,AZ20)</f>
      </c>
      <c r="BD20" s="14">
        <v>0</v>
      </c>
      <c r="BE20" s="14">
        <f>COUNTA(K20,N20,Q20,T20,W20,Z20,AC20,AF20,AI20,AL20,AO20,AR20,AU20,AX20,BA20)</f>
      </c>
      <c r="BF20" s="8" t="s">
        <v>40</v>
      </c>
    </row>
    <row r="21" spans="2:58" x14ac:dyDescent="0.25">
      <c r="B21" s="8" t="s">
        <v>33</v>
      </c>
      <c r="C21" s="8" t="s">
        <v>66</v>
      </c>
      <c r="D21" s="9" t="s">
        <v>67</v>
      </c>
      <c r="E21" s="9" t="s">
        <v>73</v>
      </c>
      <c r="F21" s="8" t="s">
        <v>74</v>
      </c>
      <c r="G21" s="8" t="s">
        <v>38</v>
      </c>
      <c r="H21" s="10" t="s">
        <v>75</v>
      </c>
      <c r="I21" s="11" t="s">
        <v>38</v>
      </c>
      <c r="J21" s="11"/>
      <c r="K21" s="11"/>
      <c r="L21" s="11" t="s">
        <v>38</v>
      </c>
      <c r="M21" s="11"/>
      <c r="N21" s="11"/>
      <c r="O21" s="11" t="s">
        <v>38</v>
      </c>
      <c r="P21" s="11"/>
      <c r="Q21" s="11"/>
      <c r="R21" s="11" t="s">
        <v>38</v>
      </c>
      <c r="S21" s="11"/>
      <c r="T21" s="11"/>
      <c r="U21" s="11" t="s">
        <v>38</v>
      </c>
      <c r="V21" s="11"/>
      <c r="W21" s="11"/>
      <c r="X21" s="12" t="s">
        <v>38</v>
      </c>
      <c r="Y21" s="12"/>
      <c r="Z21" s="12"/>
      <c r="AA21" s="12" t="s">
        <v>38</v>
      </c>
      <c r="AB21" s="12"/>
      <c r="AC21" s="12"/>
      <c r="AD21" s="12" t="s">
        <v>38</v>
      </c>
      <c r="AE21" s="12"/>
      <c r="AF21" s="12"/>
      <c r="AG21" s="13" t="s">
        <v>38</v>
      </c>
      <c r="AH21" s="13"/>
      <c r="AI21" s="13"/>
      <c r="AJ21" s="13" t="s">
        <v>38</v>
      </c>
      <c r="AK21" s="13"/>
      <c r="AL21" s="13"/>
      <c r="AM21" s="13" t="s">
        <v>38</v>
      </c>
      <c r="AN21" s="13"/>
      <c r="AO21" s="13"/>
      <c r="AP21" s="13" t="s">
        <v>38</v>
      </c>
      <c r="AQ21" s="13"/>
      <c r="AR21" s="13"/>
      <c r="AS21" s="13" t="s">
        <v>38</v>
      </c>
      <c r="AT21" s="13"/>
      <c r="AU21" s="13"/>
      <c r="AV21" s="13" t="s">
        <v>38</v>
      </c>
      <c r="AW21" s="13"/>
      <c r="AX21" s="13"/>
      <c r="AY21" s="13" t="s">
        <v>38</v>
      </c>
      <c r="AZ21" s="13"/>
      <c r="BA21" s="13"/>
      <c r="BB21" s="14">
        <f>SUM(BC21:BE21)</f>
      </c>
      <c r="BC21" s="14">
        <f>COUNTA(I21,L21,O21,R21,U21,X21,AA21,AD21,AG21,AJ21,AM21,AP21,AS21,AV21,AY21,J21,M21,P21,S21,V21,Y21,AB21,AE21,AH21,AK21,AN21,AQ21,AT21,AW21,AZ21)</f>
      </c>
      <c r="BD21" s="14">
        <v>0</v>
      </c>
      <c r="BE21" s="14">
        <f>COUNTA(K21,N21,Q21,T21,W21,Z21,AC21,AF21,AI21,AL21,AO21,AR21,AU21,AX21,BA21)</f>
      </c>
      <c r="BF21" s="8" t="s">
        <v>40</v>
      </c>
    </row>
    <row r="22" spans="2:58" x14ac:dyDescent="0.25">
      <c r="B22" s="8" t="s">
        <v>33</v>
      </c>
      <c r="C22" s="8" t="s">
        <v>66</v>
      </c>
      <c r="D22" s="9" t="s">
        <v>67</v>
      </c>
      <c r="E22" s="9" t="s">
        <v>76</v>
      </c>
      <c r="F22" s="8" t="s">
        <v>77</v>
      </c>
      <c r="G22" s="8" t="s">
        <v>38</v>
      </c>
      <c r="H22" s="10" t="s">
        <v>75</v>
      </c>
      <c r="I22" s="11" t="s">
        <v>38</v>
      </c>
      <c r="J22" s="11"/>
      <c r="K22" s="11"/>
      <c r="L22" s="11"/>
      <c r="M22" s="11" t="s">
        <v>38</v>
      </c>
      <c r="N22" s="11"/>
      <c r="O22" s="11" t="s">
        <v>38</v>
      </c>
      <c r="P22" s="11"/>
      <c r="Q22" s="11"/>
      <c r="R22" s="11" t="s">
        <v>38</v>
      </c>
      <c r="S22" s="11"/>
      <c r="T22" s="11"/>
      <c r="U22" s="11" t="s">
        <v>38</v>
      </c>
      <c r="V22" s="11"/>
      <c r="W22" s="11"/>
      <c r="X22" s="12" t="s">
        <v>38</v>
      </c>
      <c r="Y22" s="12"/>
      <c r="Z22" s="12"/>
      <c r="AA22" s="12" t="s">
        <v>38</v>
      </c>
      <c r="AB22" s="12"/>
      <c r="AC22" s="12"/>
      <c r="AD22" s="12" t="s">
        <v>38</v>
      </c>
      <c r="AE22" s="12"/>
      <c r="AF22" s="12"/>
      <c r="AG22" s="13" t="s">
        <v>38</v>
      </c>
      <c r="AH22" s="13"/>
      <c r="AI22" s="13"/>
      <c r="AJ22" s="13" t="s">
        <v>38</v>
      </c>
      <c r="AK22" s="13"/>
      <c r="AL22" s="13"/>
      <c r="AM22" s="13" t="s">
        <v>38</v>
      </c>
      <c r="AN22" s="13"/>
      <c r="AO22" s="13"/>
      <c r="AP22" s="13" t="s">
        <v>38</v>
      </c>
      <c r="AQ22" s="13"/>
      <c r="AR22" s="13"/>
      <c r="AS22" s="13" t="s">
        <v>38</v>
      </c>
      <c r="AT22" s="13"/>
      <c r="AU22" s="13"/>
      <c r="AV22" s="13" t="s">
        <v>38</v>
      </c>
      <c r="AW22" s="13"/>
      <c r="AX22" s="13"/>
      <c r="AY22" s="13" t="s">
        <v>38</v>
      </c>
      <c r="AZ22" s="13"/>
      <c r="BA22" s="13"/>
      <c r="BB22" s="14">
        <f>SUM(BC22:BE22)</f>
      </c>
      <c r="BC22" s="14">
        <f>COUNTA(I22,L22,O22,R22,U22,X22,AA22,AD22,AG22,AJ22,AM22,AP22,AS22,AV22,AY22,J22,M22,P22,S22,V22,Y22,AB22,AE22,AH22,AK22,AN22,AQ22,AT22,AW22,AZ22)</f>
      </c>
      <c r="BD22" s="14">
        <v>0</v>
      </c>
      <c r="BE22" s="14">
        <f>COUNTA(K22,N22,Q22,T22,W22,Z22,AC22,AF22,AI22,AL22,AO22,AR22,AU22,AX22,BA22)</f>
      </c>
      <c r="BF22" s="8" t="s">
        <v>40</v>
      </c>
    </row>
    <row r="23" spans="2:58" x14ac:dyDescent="0.25">
      <c r="B23" s="8" t="s">
        <v>33</v>
      </c>
      <c r="C23" s="8" t="s">
        <v>66</v>
      </c>
      <c r="D23" s="9" t="s">
        <v>67</v>
      </c>
      <c r="E23" s="9" t="s">
        <v>78</v>
      </c>
      <c r="F23" s="8" t="s">
        <v>79</v>
      </c>
      <c r="G23" s="8" t="s">
        <v>38</v>
      </c>
      <c r="H23" s="10" t="s">
        <v>80</v>
      </c>
      <c r="I23" s="11" t="s">
        <v>38</v>
      </c>
      <c r="J23" s="11"/>
      <c r="K23" s="11"/>
      <c r="L23" s="11" t="s">
        <v>38</v>
      </c>
      <c r="M23" s="11"/>
      <c r="N23" s="11"/>
      <c r="O23" s="11" t="s">
        <v>38</v>
      </c>
      <c r="P23" s="11"/>
      <c r="Q23" s="11"/>
      <c r="R23" s="11"/>
      <c r="S23" s="11" t="s">
        <v>38</v>
      </c>
      <c r="T23" s="11"/>
      <c r="U23" s="11" t="s">
        <v>38</v>
      </c>
      <c r="V23" s="11"/>
      <c r="W23" s="11"/>
      <c r="X23" s="12"/>
      <c r="Y23" s="12" t="s">
        <v>38</v>
      </c>
      <c r="Z23" s="12"/>
      <c r="AA23" s="12" t="s">
        <v>38</v>
      </c>
      <c r="AB23" s="12"/>
      <c r="AC23" s="12"/>
      <c r="AD23" s="12" t="s">
        <v>38</v>
      </c>
      <c r="AE23" s="12"/>
      <c r="AF23" s="12"/>
      <c r="AG23" s="13" t="s">
        <v>38</v>
      </c>
      <c r="AH23" s="13"/>
      <c r="AI23" s="13"/>
      <c r="AJ23" s="13" t="s">
        <v>38</v>
      </c>
      <c r="AK23" s="13"/>
      <c r="AL23" s="13"/>
      <c r="AM23" s="13" t="s">
        <v>38</v>
      </c>
      <c r="AN23" s="13"/>
      <c r="AO23" s="13"/>
      <c r="AP23" s="13" t="s">
        <v>38</v>
      </c>
      <c r="AQ23" s="13"/>
      <c r="AR23" s="13"/>
      <c r="AS23" s="13" t="s">
        <v>38</v>
      </c>
      <c r="AT23" s="13"/>
      <c r="AU23" s="13"/>
      <c r="AV23" s="13" t="s">
        <v>38</v>
      </c>
      <c r="AW23" s="13"/>
      <c r="AX23" s="13"/>
      <c r="AY23" s="13" t="s">
        <v>38</v>
      </c>
      <c r="AZ23" s="13"/>
      <c r="BA23" s="13"/>
      <c r="BB23" s="14">
        <f>SUM(BC23:BE23)</f>
      </c>
      <c r="BC23" s="14">
        <f>COUNTA(I23,L23,O23,R23,U23,X23,AA23,AD23,AG23,AJ23,AM23,AP23,AS23,AV23,AY23,J23,M23,P23,S23,V23,Y23,AB23,AE23,AH23,AK23,AN23,AQ23,AT23,AW23,AZ23)</f>
      </c>
      <c r="BD23" s="14">
        <v>0</v>
      </c>
      <c r="BE23" s="14">
        <f>COUNTA(K23,N23,Q23,T23,W23,Z23,AC23,AF23,AI23,AL23,AO23,AR23,AU23,AX23,BA23)</f>
      </c>
      <c r="BF23" s="8" t="s">
        <v>40</v>
      </c>
    </row>
    <row r="24" spans="2:58" x14ac:dyDescent="0.25">
      <c r="B24" s="8" t="s">
        <v>33</v>
      </c>
      <c r="C24" s="8" t="s">
        <v>66</v>
      </c>
      <c r="D24" s="9" t="s">
        <v>67</v>
      </c>
      <c r="E24" s="9" t="s">
        <v>81</v>
      </c>
      <c r="F24" s="8" t="s">
        <v>82</v>
      </c>
      <c r="G24" s="8" t="s">
        <v>38</v>
      </c>
      <c r="H24" s="10" t="s">
        <v>83</v>
      </c>
      <c r="I24" s="11" t="s">
        <v>38</v>
      </c>
      <c r="J24" s="11"/>
      <c r="K24" s="11"/>
      <c r="L24" s="11" t="s">
        <v>38</v>
      </c>
      <c r="M24" s="11"/>
      <c r="N24" s="11"/>
      <c r="O24" s="11" t="s">
        <v>38</v>
      </c>
      <c r="P24" s="11"/>
      <c r="Q24" s="11"/>
      <c r="R24" s="11" t="s">
        <v>38</v>
      </c>
      <c r="S24" s="11"/>
      <c r="T24" s="11"/>
      <c r="U24" s="11" t="s">
        <v>38</v>
      </c>
      <c r="V24" s="11"/>
      <c r="W24" s="11"/>
      <c r="X24" s="12" t="s">
        <v>38</v>
      </c>
      <c r="Y24" s="12"/>
      <c r="Z24" s="12"/>
      <c r="AA24" s="12" t="s">
        <v>38</v>
      </c>
      <c r="AB24" s="12"/>
      <c r="AC24" s="12"/>
      <c r="AD24" s="12" t="s">
        <v>38</v>
      </c>
      <c r="AE24" s="12"/>
      <c r="AF24" s="12"/>
      <c r="AG24" s="13" t="s">
        <v>38</v>
      </c>
      <c r="AH24" s="13"/>
      <c r="AI24" s="13"/>
      <c r="AJ24" s="13" t="s">
        <v>38</v>
      </c>
      <c r="AK24" s="13"/>
      <c r="AL24" s="13"/>
      <c r="AM24" s="13" t="s">
        <v>38</v>
      </c>
      <c r="AN24" s="13"/>
      <c r="AO24" s="13"/>
      <c r="AP24" s="13" t="s">
        <v>38</v>
      </c>
      <c r="AQ24" s="13"/>
      <c r="AR24" s="13"/>
      <c r="AS24" s="13" t="s">
        <v>38</v>
      </c>
      <c r="AT24" s="13"/>
      <c r="AU24" s="13"/>
      <c r="AV24" s="13" t="s">
        <v>38</v>
      </c>
      <c r="AW24" s="13"/>
      <c r="AX24" s="13"/>
      <c r="AY24" s="13" t="s">
        <v>38</v>
      </c>
      <c r="AZ24" s="13"/>
      <c r="BA24" s="13"/>
      <c r="BB24" s="14">
        <f>SUM(BC24:BE24)</f>
      </c>
      <c r="BC24" s="14">
        <f>COUNTA(I24,L24,O24,R24,U24,X24,AA24,AD24,AG24,AJ24,AM24,AP24,AS24,AV24,AY24,J24,M24,P24,S24,V24,Y24,AB24,AE24,AH24,AK24,AN24,AQ24,AT24,AW24,AZ24)</f>
      </c>
      <c r="BD24" s="14">
        <v>0</v>
      </c>
      <c r="BE24" s="14">
        <f>COUNTA(K24,N24,Q24,T24,W24,Z24,AC24,AF24,AI24,AL24,AO24,AR24,AU24,AX24,BA24)</f>
      </c>
      <c r="BF24" s="8" t="s">
        <v>40</v>
      </c>
    </row>
    <row r="25" spans="2:58" x14ac:dyDescent="0.25">
      <c r="B25" s="8" t="s">
        <v>33</v>
      </c>
      <c r="C25" s="8" t="s">
        <v>66</v>
      </c>
      <c r="D25" s="9" t="s">
        <v>84</v>
      </c>
      <c r="E25" s="9" t="s">
        <v>85</v>
      </c>
      <c r="F25" s="8" t="s">
        <v>86</v>
      </c>
      <c r="G25" s="8" t="s">
        <v>38</v>
      </c>
      <c r="H25" s="10" t="s">
        <v>87</v>
      </c>
      <c r="I25" s="11" t="s">
        <v>38</v>
      </c>
      <c r="J25" s="11"/>
      <c r="K25" s="11"/>
      <c r="L25" s="11" t="s">
        <v>38</v>
      </c>
      <c r="M25" s="11"/>
      <c r="N25" s="11"/>
      <c r="O25" s="11" t="s">
        <v>38</v>
      </c>
      <c r="P25" s="11"/>
      <c r="Q25" s="11"/>
      <c r="R25" s="11" t="s">
        <v>38</v>
      </c>
      <c r="S25" s="11"/>
      <c r="T25" s="11"/>
      <c r="U25" s="11" t="s">
        <v>38</v>
      </c>
      <c r="V25" s="11"/>
      <c r="W25" s="11"/>
      <c r="X25" s="12" t="s">
        <v>38</v>
      </c>
      <c r="Y25" s="12"/>
      <c r="Z25" s="12"/>
      <c r="AA25" s="12" t="s">
        <v>38</v>
      </c>
      <c r="AB25" s="12"/>
      <c r="AC25" s="12"/>
      <c r="AD25" s="12" t="s">
        <v>38</v>
      </c>
      <c r="AE25" s="12"/>
      <c r="AF25" s="12"/>
      <c r="AG25" s="13" t="s">
        <v>38</v>
      </c>
      <c r="AH25" s="13"/>
      <c r="AI25" s="13"/>
      <c r="AJ25" s="13" t="s">
        <v>38</v>
      </c>
      <c r="AK25" s="13"/>
      <c r="AL25" s="13"/>
      <c r="AM25" s="13" t="s">
        <v>38</v>
      </c>
      <c r="AN25" s="13"/>
      <c r="AO25" s="13"/>
      <c r="AP25" s="13" t="s">
        <v>38</v>
      </c>
      <c r="AQ25" s="13"/>
      <c r="AR25" s="13"/>
      <c r="AS25" s="13" t="s">
        <v>38</v>
      </c>
      <c r="AT25" s="13"/>
      <c r="AU25" s="13"/>
      <c r="AV25" s="13" t="s">
        <v>38</v>
      </c>
      <c r="AW25" s="13"/>
      <c r="AX25" s="13"/>
      <c r="AY25" s="13" t="s">
        <v>38</v>
      </c>
      <c r="AZ25" s="13"/>
      <c r="BA25" s="13"/>
      <c r="BB25" s="14">
        <f>SUM(BC25:BE25)</f>
      </c>
      <c r="BC25" s="14">
        <f>COUNTA(I25,L25,O25,R25,U25,X25,AA25,AD25,AG25,AJ25,AM25,AP25,AS25,AV25,AY25,J25,M25,P25,S25,V25,Y25,AB25,AE25,AH25,AK25,AN25,AQ25,AT25,AW25,AZ25)</f>
      </c>
      <c r="BD25" s="14">
        <v>0</v>
      </c>
      <c r="BE25" s="14">
        <f>COUNTA(K25,N25,Q25,T25,W25,Z25,AC25,AF25,AI25,AL25,AO25,AR25,AU25,AX25,BA25)</f>
      </c>
      <c r="BF25" s="8" t="s">
        <v>40</v>
      </c>
    </row>
    <row r="26" spans="2:58" x14ac:dyDescent="0.25">
      <c r="B26" s="8" t="s">
        <v>33</v>
      </c>
      <c r="C26" s="8" t="s">
        <v>66</v>
      </c>
      <c r="D26" s="9" t="s">
        <v>88</v>
      </c>
      <c r="E26" s="9" t="s">
        <v>89</v>
      </c>
      <c r="F26" s="8" t="s">
        <v>90</v>
      </c>
      <c r="G26" s="8" t="s">
        <v>38</v>
      </c>
      <c r="H26" s="10" t="s">
        <v>91</v>
      </c>
      <c r="I26" s="11" t="s">
        <v>38</v>
      </c>
      <c r="J26" s="11"/>
      <c r="K26" s="11"/>
      <c r="L26" s="11" t="s">
        <v>38</v>
      </c>
      <c r="M26" s="11"/>
      <c r="N26" s="11"/>
      <c r="O26" s="11" t="s">
        <v>38</v>
      </c>
      <c r="P26" s="11"/>
      <c r="Q26" s="11"/>
      <c r="R26" s="11" t="s">
        <v>38</v>
      </c>
      <c r="S26" s="11"/>
      <c r="T26" s="11"/>
      <c r="U26" s="11" t="s">
        <v>38</v>
      </c>
      <c r="V26" s="11"/>
      <c r="W26" s="11"/>
      <c r="X26" s="12" t="s">
        <v>38</v>
      </c>
      <c r="Y26" s="12"/>
      <c r="Z26" s="12"/>
      <c r="AA26" s="12" t="s">
        <v>38</v>
      </c>
      <c r="AB26" s="12"/>
      <c r="AC26" s="12"/>
      <c r="AD26" s="12" t="s">
        <v>38</v>
      </c>
      <c r="AE26" s="12"/>
      <c r="AF26" s="12"/>
      <c r="AG26" s="13" t="s">
        <v>38</v>
      </c>
      <c r="AH26" s="13"/>
      <c r="AI26" s="13"/>
      <c r="AJ26" s="13" t="s">
        <v>38</v>
      </c>
      <c r="AK26" s="13"/>
      <c r="AL26" s="13"/>
      <c r="AM26" s="13" t="s">
        <v>38</v>
      </c>
      <c r="AN26" s="13"/>
      <c r="AO26" s="13"/>
      <c r="AP26" s="13" t="s">
        <v>38</v>
      </c>
      <c r="AQ26" s="13"/>
      <c r="AR26" s="13"/>
      <c r="AS26" s="13" t="s">
        <v>38</v>
      </c>
      <c r="AT26" s="13"/>
      <c r="AU26" s="13"/>
      <c r="AV26" s="13" t="s">
        <v>38</v>
      </c>
      <c r="AW26" s="13"/>
      <c r="AX26" s="13"/>
      <c r="AY26" s="13" t="s">
        <v>38</v>
      </c>
      <c r="AZ26" s="13"/>
      <c r="BA26" s="13"/>
      <c r="BB26" s="14">
        <f>SUM(BC26:BE26)</f>
      </c>
      <c r="BC26" s="14">
        <f>COUNTA(I26,L26,O26,R26,U26,X26,AA26,AD26,AG26,AJ26,AM26,AP26,AS26,AV26,AY26,J26,M26,P26,S26,V26,Y26,AB26,AE26,AH26,AK26,AN26,AQ26,AT26,AW26,AZ26)</f>
      </c>
      <c r="BD26" s="14">
        <v>0</v>
      </c>
      <c r="BE26" s="14">
        <f>COUNTA(K26,N26,Q26,T26,W26,Z26,AC26,AF26,AI26,AL26,AO26,AR26,AU26,AX26,BA26)</f>
      </c>
      <c r="BF26" s="8" t="s">
        <v>40</v>
      </c>
    </row>
    <row r="27" spans="2:58" x14ac:dyDescent="0.25">
      <c r="B27" s="8" t="s">
        <v>33</v>
      </c>
      <c r="C27" s="8" t="s">
        <v>66</v>
      </c>
      <c r="D27" s="9" t="s">
        <v>88</v>
      </c>
      <c r="E27" s="9" t="s">
        <v>92</v>
      </c>
      <c r="F27" s="8" t="s">
        <v>93</v>
      </c>
      <c r="G27" s="8" t="s">
        <v>38</v>
      </c>
      <c r="H27" s="10" t="s">
        <v>75</v>
      </c>
      <c r="I27" s="11" t="s">
        <v>38</v>
      </c>
      <c r="J27" s="11"/>
      <c r="K27" s="11"/>
      <c r="L27" s="11" t="s">
        <v>38</v>
      </c>
      <c r="M27" s="11"/>
      <c r="N27" s="11"/>
      <c r="O27" s="11" t="s">
        <v>38</v>
      </c>
      <c r="P27" s="11"/>
      <c r="Q27" s="11"/>
      <c r="R27" s="11" t="s">
        <v>38</v>
      </c>
      <c r="S27" s="11"/>
      <c r="T27" s="11"/>
      <c r="U27" s="11" t="s">
        <v>38</v>
      </c>
      <c r="V27" s="11"/>
      <c r="W27" s="11"/>
      <c r="X27" s="12" t="s">
        <v>38</v>
      </c>
      <c r="Y27" s="12"/>
      <c r="Z27" s="12"/>
      <c r="AA27" s="12" t="s">
        <v>38</v>
      </c>
      <c r="AB27" s="12"/>
      <c r="AC27" s="12"/>
      <c r="AD27" s="12" t="s">
        <v>38</v>
      </c>
      <c r="AE27" s="12"/>
      <c r="AF27" s="12"/>
      <c r="AG27" s="13" t="s">
        <v>38</v>
      </c>
      <c r="AH27" s="13"/>
      <c r="AI27" s="13"/>
      <c r="AJ27" s="13" t="s">
        <v>38</v>
      </c>
      <c r="AK27" s="13"/>
      <c r="AL27" s="13"/>
      <c r="AM27" s="13" t="s">
        <v>38</v>
      </c>
      <c r="AN27" s="13"/>
      <c r="AO27" s="13"/>
      <c r="AP27" s="13" t="s">
        <v>38</v>
      </c>
      <c r="AQ27" s="13"/>
      <c r="AR27" s="13"/>
      <c r="AS27" s="13" t="s">
        <v>38</v>
      </c>
      <c r="AT27" s="13"/>
      <c r="AU27" s="13"/>
      <c r="AV27" s="13" t="s">
        <v>38</v>
      </c>
      <c r="AW27" s="13"/>
      <c r="AX27" s="13"/>
      <c r="AY27" s="13" t="s">
        <v>38</v>
      </c>
      <c r="AZ27" s="13"/>
      <c r="BA27" s="13"/>
      <c r="BB27" s="14">
        <f>SUM(BC27:BE27)</f>
      </c>
      <c r="BC27" s="14">
        <f>COUNTA(I27,L27,O27,R27,U27,X27,AA27,AD27,AG27,AJ27,AM27,AP27,AS27,AV27,AY27,J27,M27,P27,S27,V27,Y27,AB27,AE27,AH27,AK27,AN27,AQ27,AT27,AW27,AZ27)</f>
      </c>
      <c r="BD27" s="14">
        <v>0</v>
      </c>
      <c r="BE27" s="14">
        <f>COUNTA(K27,N27,Q27,T27,W27,Z27,AC27,AF27,AI27,AL27,AO27,AR27,AU27,AX27,BA27)</f>
      </c>
      <c r="BF27" s="8" t="s">
        <v>40</v>
      </c>
    </row>
    <row r="28" spans="2:58" x14ac:dyDescent="0.25">
      <c r="B28" s="8" t="s">
        <v>33</v>
      </c>
      <c r="C28" s="8" t="s">
        <v>66</v>
      </c>
      <c r="D28" s="9" t="s">
        <v>88</v>
      </c>
      <c r="E28" s="9" t="s">
        <v>94</v>
      </c>
      <c r="F28" s="8" t="s">
        <v>95</v>
      </c>
      <c r="G28" s="8" t="s">
        <v>38</v>
      </c>
      <c r="H28" s="10" t="s">
        <v>70</v>
      </c>
      <c r="I28" s="11" t="s">
        <v>38</v>
      </c>
      <c r="J28" s="11"/>
      <c r="K28" s="11"/>
      <c r="L28" s="11" t="s">
        <v>38</v>
      </c>
      <c r="M28" s="11"/>
      <c r="N28" s="11"/>
      <c r="O28" s="11" t="s">
        <v>38</v>
      </c>
      <c r="P28" s="11"/>
      <c r="Q28" s="11"/>
      <c r="R28" s="11" t="s">
        <v>38</v>
      </c>
      <c r="S28" s="11"/>
      <c r="T28" s="11"/>
      <c r="U28" s="11" t="s">
        <v>38</v>
      </c>
      <c r="V28" s="11"/>
      <c r="W28" s="11"/>
      <c r="X28" s="12"/>
      <c r="Y28" s="12" t="s">
        <v>38</v>
      </c>
      <c r="Z28" s="12"/>
      <c r="AA28" s="12" t="s">
        <v>38</v>
      </c>
      <c r="AB28" s="12"/>
      <c r="AC28" s="12"/>
      <c r="AD28" s="12" t="s">
        <v>38</v>
      </c>
      <c r="AE28" s="12"/>
      <c r="AF28" s="12"/>
      <c r="AG28" s="13" t="s">
        <v>38</v>
      </c>
      <c r="AH28" s="13"/>
      <c r="AI28" s="13"/>
      <c r="AJ28" s="13" t="s">
        <v>38</v>
      </c>
      <c r="AK28" s="13"/>
      <c r="AL28" s="13"/>
      <c r="AM28" s="13" t="s">
        <v>38</v>
      </c>
      <c r="AN28" s="13"/>
      <c r="AO28" s="13"/>
      <c r="AP28" s="13" t="s">
        <v>38</v>
      </c>
      <c r="AQ28" s="13"/>
      <c r="AR28" s="13"/>
      <c r="AS28" s="13" t="s">
        <v>38</v>
      </c>
      <c r="AT28" s="13"/>
      <c r="AU28" s="13"/>
      <c r="AV28" s="13" t="s">
        <v>38</v>
      </c>
      <c r="AW28" s="13"/>
      <c r="AX28" s="13"/>
      <c r="AY28" s="13" t="s">
        <v>38</v>
      </c>
      <c r="AZ28" s="13"/>
      <c r="BA28" s="13"/>
      <c r="BB28" s="14">
        <f>SUM(BC28:BE28)</f>
      </c>
      <c r="BC28" s="14">
        <f>COUNTA(I28,L28,O28,R28,U28,X28,AA28,AD28,AG28,AJ28,AM28,AP28,AS28,AV28,AY28,J28,M28,P28,S28,V28,Y28,AB28,AE28,AH28,AK28,AN28,AQ28,AT28,AW28,AZ28)</f>
      </c>
      <c r="BD28" s="14">
        <v>0</v>
      </c>
      <c r="BE28" s="14">
        <f>COUNTA(K28,N28,Q28,T28,W28,Z28,AC28,AF28,AI28,AL28,AO28,AR28,AU28,AX28,BA28)</f>
      </c>
      <c r="BF28" s="8" t="s">
        <v>40</v>
      </c>
    </row>
    <row r="29" spans="2:58" x14ac:dyDescent="0.25">
      <c r="B29" s="8" t="s">
        <v>33</v>
      </c>
      <c r="C29" s="8" t="s">
        <v>66</v>
      </c>
      <c r="D29" s="9" t="s">
        <v>88</v>
      </c>
      <c r="E29" s="9" t="s">
        <v>96</v>
      </c>
      <c r="F29" s="8" t="s">
        <v>97</v>
      </c>
      <c r="G29" s="8" t="s">
        <v>38</v>
      </c>
      <c r="H29" s="10" t="s">
        <v>80</v>
      </c>
      <c r="I29" s="11" t="s">
        <v>38</v>
      </c>
      <c r="J29" s="11"/>
      <c r="K29" s="11"/>
      <c r="L29" s="11" t="s">
        <v>38</v>
      </c>
      <c r="M29" s="11"/>
      <c r="N29" s="11"/>
      <c r="O29" s="11" t="s">
        <v>38</v>
      </c>
      <c r="P29" s="11"/>
      <c r="Q29" s="11"/>
      <c r="R29" s="11" t="s">
        <v>38</v>
      </c>
      <c r="S29" s="11"/>
      <c r="T29" s="11"/>
      <c r="U29" s="11" t="s">
        <v>38</v>
      </c>
      <c r="V29" s="11"/>
      <c r="W29" s="11"/>
      <c r="X29" s="12" t="s">
        <v>38</v>
      </c>
      <c r="Y29" s="12"/>
      <c r="Z29" s="12"/>
      <c r="AA29" s="12" t="s">
        <v>38</v>
      </c>
      <c r="AB29" s="12"/>
      <c r="AC29" s="12"/>
      <c r="AD29" s="12" t="s">
        <v>38</v>
      </c>
      <c r="AE29" s="12"/>
      <c r="AF29" s="12"/>
      <c r="AG29" s="13" t="s">
        <v>38</v>
      </c>
      <c r="AH29" s="13"/>
      <c r="AI29" s="13"/>
      <c r="AJ29" s="13" t="s">
        <v>38</v>
      </c>
      <c r="AK29" s="13"/>
      <c r="AL29" s="13"/>
      <c r="AM29" s="13" t="s">
        <v>38</v>
      </c>
      <c r="AN29" s="13"/>
      <c r="AO29" s="13"/>
      <c r="AP29" s="13" t="s">
        <v>38</v>
      </c>
      <c r="AQ29" s="13"/>
      <c r="AR29" s="13"/>
      <c r="AS29" s="13" t="s">
        <v>38</v>
      </c>
      <c r="AT29" s="13"/>
      <c r="AU29" s="13"/>
      <c r="AV29" s="13" t="s">
        <v>38</v>
      </c>
      <c r="AW29" s="13"/>
      <c r="AX29" s="13"/>
      <c r="AY29" s="13" t="s">
        <v>38</v>
      </c>
      <c r="AZ29" s="13"/>
      <c r="BA29" s="13"/>
      <c r="BB29" s="14">
        <f>SUM(BC29:BE29)</f>
      </c>
      <c r="BC29" s="14">
        <f>COUNTA(I29,L29,O29,R29,U29,X29,AA29,AD29,AG29,AJ29,AM29,AP29,AS29,AV29,AY29,J29,M29,P29,S29,V29,Y29,AB29,AE29,AH29,AK29,AN29,AQ29,AT29,AW29,AZ29)</f>
      </c>
      <c r="BD29" s="14">
        <v>0</v>
      </c>
      <c r="BE29" s="14">
        <f>COUNTA(K29,N29,Q29,T29,W29,Z29,AC29,AF29,AI29,AL29,AO29,AR29,AU29,AX29,BA29)</f>
      </c>
      <c r="BF29" s="8" t="s">
        <v>40</v>
      </c>
    </row>
    <row r="30" spans="2:58" x14ac:dyDescent="0.25">
      <c r="B30" s="8" t="s">
        <v>33</v>
      </c>
      <c r="C30" s="8" t="s">
        <v>66</v>
      </c>
      <c r="D30" s="9" t="s">
        <v>88</v>
      </c>
      <c r="E30" s="9" t="s">
        <v>98</v>
      </c>
      <c r="F30" s="8" t="s">
        <v>99</v>
      </c>
      <c r="G30" s="8" t="s">
        <v>38</v>
      </c>
      <c r="H30" s="10" t="s">
        <v>100</v>
      </c>
      <c r="I30" s="11" t="s">
        <v>38</v>
      </c>
      <c r="J30" s="11"/>
      <c r="K30" s="11"/>
      <c r="L30" s="11" t="s">
        <v>38</v>
      </c>
      <c r="M30" s="11"/>
      <c r="N30" s="11"/>
      <c r="O30" s="11" t="s">
        <v>38</v>
      </c>
      <c r="P30" s="11"/>
      <c r="Q30" s="11"/>
      <c r="R30" s="11" t="s">
        <v>38</v>
      </c>
      <c r="S30" s="11"/>
      <c r="T30" s="11"/>
      <c r="U30" s="11" t="s">
        <v>38</v>
      </c>
      <c r="V30" s="11"/>
      <c r="W30" s="11"/>
      <c r="X30" s="12" t="s">
        <v>38</v>
      </c>
      <c r="Y30" s="12"/>
      <c r="Z30" s="12"/>
      <c r="AA30" s="12" t="s">
        <v>38</v>
      </c>
      <c r="AB30" s="12"/>
      <c r="AC30" s="12"/>
      <c r="AD30" s="12" t="s">
        <v>38</v>
      </c>
      <c r="AE30" s="12"/>
      <c r="AF30" s="12"/>
      <c r="AG30" s="13" t="s">
        <v>38</v>
      </c>
      <c r="AH30" s="13"/>
      <c r="AI30" s="13"/>
      <c r="AJ30" s="13" t="s">
        <v>38</v>
      </c>
      <c r="AK30" s="13"/>
      <c r="AL30" s="13"/>
      <c r="AM30" s="13" t="s">
        <v>38</v>
      </c>
      <c r="AN30" s="13"/>
      <c r="AO30" s="13"/>
      <c r="AP30" s="13" t="s">
        <v>38</v>
      </c>
      <c r="AQ30" s="13"/>
      <c r="AR30" s="13"/>
      <c r="AS30" s="13" t="s">
        <v>38</v>
      </c>
      <c r="AT30" s="13"/>
      <c r="AU30" s="13"/>
      <c r="AV30" s="13" t="s">
        <v>38</v>
      </c>
      <c r="AW30" s="13"/>
      <c r="AX30" s="13"/>
      <c r="AY30" s="13" t="s">
        <v>38</v>
      </c>
      <c r="AZ30" s="13"/>
      <c r="BA30" s="13"/>
      <c r="BB30" s="14">
        <f>SUM(BC30:BE30)</f>
      </c>
      <c r="BC30" s="14">
        <f>COUNTA(I30,L30,O30,R30,U30,X30,AA30,AD30,AG30,AJ30,AM30,AP30,AS30,AV30,AY30,J30,M30,P30,S30,V30,Y30,AB30,AE30,AH30,AK30,AN30,AQ30,AT30,AW30,AZ30)</f>
      </c>
      <c r="BD30" s="14">
        <v>0</v>
      </c>
      <c r="BE30" s="14">
        <f>COUNTA(K30,N30,Q30,T30,W30,Z30,AC30,AF30,AI30,AL30,AO30,AR30,AU30,AX30,BA30)</f>
      </c>
      <c r="BF30" s="8" t="s">
        <v>40</v>
      </c>
    </row>
    <row r="31" spans="2:58" x14ac:dyDescent="0.25">
      <c r="B31" s="8" t="s">
        <v>33</v>
      </c>
      <c r="C31" s="8" t="s">
        <v>66</v>
      </c>
      <c r="D31" s="9" t="s">
        <v>88</v>
      </c>
      <c r="E31" s="9" t="s">
        <v>101</v>
      </c>
      <c r="F31" s="8" t="s">
        <v>102</v>
      </c>
      <c r="G31" s="8" t="s">
        <v>52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12"/>
      <c r="Z31" s="12"/>
      <c r="AA31" s="12"/>
      <c r="AB31" s="12"/>
      <c r="AC31" s="12"/>
      <c r="AD31" s="12"/>
      <c r="AE31" s="12"/>
      <c r="AF31" s="12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4">
        <f>SUM(BC31:BE31)</f>
      </c>
      <c r="BC31" s="14">
        <f>COUNTA(I31,L31,O31,R31,U31,X31,AA31,AD31,AG31,AJ31,AM31,AP31,AS31,AV31,AY31,J31,M31,P31,S31,V31,Y31,AB31,AE31,AH31,AK31,AN31,AQ31,AT31,AW31,AZ31)</f>
      </c>
      <c r="BD31" s="14">
        <v>0</v>
      </c>
      <c r="BE31" s="14">
        <f>COUNTA(K31,N31,Q31,T31,W31,Z31,AC31,AF31,AI31,AL31,AO31,AR31,AU31,AX31,BA31)</f>
      </c>
      <c r="BF31" s="8" t="s">
        <v>40</v>
      </c>
    </row>
    <row r="32" spans="2:58" x14ac:dyDescent="0.25">
      <c r="B32" s="8" t="s">
        <v>33</v>
      </c>
      <c r="C32" s="8" t="s">
        <v>66</v>
      </c>
      <c r="D32" s="9" t="s">
        <v>88</v>
      </c>
      <c r="E32" s="9" t="s">
        <v>103</v>
      </c>
      <c r="F32" s="8" t="s">
        <v>97</v>
      </c>
      <c r="G32" s="8" t="s">
        <v>38</v>
      </c>
      <c r="H32" s="10" t="s">
        <v>87</v>
      </c>
      <c r="I32" s="11" t="s">
        <v>38</v>
      </c>
      <c r="J32" s="11"/>
      <c r="K32" s="11"/>
      <c r="L32" s="11"/>
      <c r="M32" s="11" t="s">
        <v>38</v>
      </c>
      <c r="N32" s="11"/>
      <c r="O32" s="11" t="s">
        <v>38</v>
      </c>
      <c r="P32" s="11"/>
      <c r="Q32" s="11"/>
      <c r="R32" s="11" t="s">
        <v>38</v>
      </c>
      <c r="S32" s="11"/>
      <c r="T32" s="11"/>
      <c r="U32" s="11"/>
      <c r="V32" s="11" t="s">
        <v>38</v>
      </c>
      <c r="W32" s="11"/>
      <c r="X32" s="12" t="s">
        <v>38</v>
      </c>
      <c r="Y32" s="12"/>
      <c r="Z32" s="12"/>
      <c r="AA32" s="12" t="s">
        <v>38</v>
      </c>
      <c r="AB32" s="12"/>
      <c r="AC32" s="12"/>
      <c r="AD32" s="12" t="s">
        <v>38</v>
      </c>
      <c r="AE32" s="12"/>
      <c r="AF32" s="12"/>
      <c r="AG32" s="13" t="s">
        <v>38</v>
      </c>
      <c r="AH32" s="13"/>
      <c r="AI32" s="13"/>
      <c r="AJ32" s="13" t="s">
        <v>38</v>
      </c>
      <c r="AK32" s="13"/>
      <c r="AL32" s="13"/>
      <c r="AM32" s="13" t="s">
        <v>38</v>
      </c>
      <c r="AN32" s="13"/>
      <c r="AO32" s="13"/>
      <c r="AP32" s="13" t="s">
        <v>38</v>
      </c>
      <c r="AQ32" s="13"/>
      <c r="AR32" s="13"/>
      <c r="AS32" s="13" t="s">
        <v>38</v>
      </c>
      <c r="AT32" s="13"/>
      <c r="AU32" s="13"/>
      <c r="AV32" s="13" t="s">
        <v>38</v>
      </c>
      <c r="AW32" s="13"/>
      <c r="AX32" s="13"/>
      <c r="AY32" s="13" t="s">
        <v>38</v>
      </c>
      <c r="AZ32" s="13"/>
      <c r="BA32" s="13"/>
      <c r="BB32" s="14">
        <f>SUM(BC32:BE32)</f>
      </c>
      <c r="BC32" s="14">
        <f>COUNTA(I32,L32,O32,R32,U32,X32,AA32,AD32,AG32,AJ32,AM32,AP32,AS32,AV32,AY32,J32,M32,P32,S32,V32,Y32,AB32,AE32,AH32,AK32,AN32,AQ32,AT32,AW32,AZ32)</f>
      </c>
      <c r="BD32" s="14">
        <v>0</v>
      </c>
      <c r="BE32" s="14">
        <f>COUNTA(K32,N32,Q32,T32,W32,Z32,AC32,AF32,AI32,AL32,AO32,AR32,AU32,AX32,BA32)</f>
      </c>
      <c r="BF32" s="8" t="s">
        <v>40</v>
      </c>
    </row>
    <row r="33" spans="2:58" x14ac:dyDescent="0.25">
      <c r="B33" s="8" t="s">
        <v>33</v>
      </c>
      <c r="C33" s="8" t="s">
        <v>66</v>
      </c>
      <c r="D33" s="9" t="s">
        <v>88</v>
      </c>
      <c r="E33" s="9" t="s">
        <v>104</v>
      </c>
      <c r="F33" s="8" t="s">
        <v>105</v>
      </c>
      <c r="G33" s="8" t="s">
        <v>38</v>
      </c>
      <c r="H33" s="10" t="s">
        <v>43</v>
      </c>
      <c r="I33" s="11" t="s">
        <v>38</v>
      </c>
      <c r="J33" s="11"/>
      <c r="K33" s="11"/>
      <c r="L33" s="11" t="s">
        <v>38</v>
      </c>
      <c r="M33" s="11"/>
      <c r="N33" s="11"/>
      <c r="O33" s="11" t="s">
        <v>38</v>
      </c>
      <c r="P33" s="11"/>
      <c r="Q33" s="11"/>
      <c r="R33" s="11" t="s">
        <v>38</v>
      </c>
      <c r="S33" s="11"/>
      <c r="T33" s="11"/>
      <c r="U33" s="11" t="s">
        <v>38</v>
      </c>
      <c r="V33" s="11"/>
      <c r="W33" s="11"/>
      <c r="X33" s="12"/>
      <c r="Y33" s="12" t="s">
        <v>38</v>
      </c>
      <c r="Z33" s="12"/>
      <c r="AA33" s="12" t="s">
        <v>38</v>
      </c>
      <c r="AB33" s="12"/>
      <c r="AC33" s="12"/>
      <c r="AD33" s="12" t="s">
        <v>38</v>
      </c>
      <c r="AE33" s="12"/>
      <c r="AF33" s="12"/>
      <c r="AG33" s="13" t="s">
        <v>38</v>
      </c>
      <c r="AH33" s="13"/>
      <c r="AI33" s="13"/>
      <c r="AJ33" s="13" t="s">
        <v>38</v>
      </c>
      <c r="AK33" s="13"/>
      <c r="AL33" s="13"/>
      <c r="AM33" s="13" t="s">
        <v>38</v>
      </c>
      <c r="AN33" s="13"/>
      <c r="AO33" s="13"/>
      <c r="AP33" s="13" t="s">
        <v>38</v>
      </c>
      <c r="AQ33" s="13"/>
      <c r="AR33" s="13"/>
      <c r="AS33" s="13"/>
      <c r="AT33" s="13" t="s">
        <v>38</v>
      </c>
      <c r="AU33" s="13"/>
      <c r="AV33" s="13" t="s">
        <v>38</v>
      </c>
      <c r="AW33" s="13"/>
      <c r="AX33" s="13"/>
      <c r="AY33" s="13" t="s">
        <v>38</v>
      </c>
      <c r="AZ33" s="13"/>
      <c r="BA33" s="13"/>
      <c r="BB33" s="14">
        <f>SUM(BC33:BE33)</f>
      </c>
      <c r="BC33" s="14">
        <f>COUNTA(I33,L33,O33,R33,U33,X33,AA33,AD33,AG33,AJ33,AM33,AP33,AS33,AV33,AY33,J33,M33,P33,S33,V33,Y33,AB33,AE33,AH33,AK33,AN33,AQ33,AT33,AW33,AZ33)</f>
      </c>
      <c r="BD33" s="14">
        <v>0</v>
      </c>
      <c r="BE33" s="14">
        <f>COUNTA(K33,N33,Q33,T33,W33,Z33,AC33,AF33,AI33,AL33,AO33,AR33,AU33,AX33,BA33)</f>
      </c>
      <c r="BF33" s="8" t="s">
        <v>40</v>
      </c>
    </row>
    <row r="34" spans="2:58" x14ac:dyDescent="0.25">
      <c r="B34" s="8" t="s">
        <v>33</v>
      </c>
      <c r="C34" s="8" t="s">
        <v>106</v>
      </c>
      <c r="D34" s="9" t="s">
        <v>67</v>
      </c>
      <c r="E34" s="9" t="s">
        <v>107</v>
      </c>
      <c r="F34" s="8" t="s">
        <v>108</v>
      </c>
      <c r="G34" s="8" t="s">
        <v>38</v>
      </c>
      <c r="H34" s="10" t="s">
        <v>109</v>
      </c>
      <c r="I34" s="11" t="s">
        <v>38</v>
      </c>
      <c r="J34" s="11"/>
      <c r="K34" s="11"/>
      <c r="L34" s="11" t="s">
        <v>38</v>
      </c>
      <c r="M34" s="11"/>
      <c r="N34" s="11"/>
      <c r="O34" s="11"/>
      <c r="P34" s="11" t="s">
        <v>38</v>
      </c>
      <c r="Q34" s="11"/>
      <c r="R34" s="11"/>
      <c r="S34" s="11" t="s">
        <v>38</v>
      </c>
      <c r="T34" s="11"/>
      <c r="U34" s="11" t="s">
        <v>38</v>
      </c>
      <c r="V34" s="11"/>
      <c r="W34" s="11"/>
      <c r="X34" s="12" t="s">
        <v>38</v>
      </c>
      <c r="Y34" s="12"/>
      <c r="Z34" s="12"/>
      <c r="AA34" s="12" t="s">
        <v>38</v>
      </c>
      <c r="AB34" s="12"/>
      <c r="AC34" s="12"/>
      <c r="AD34" s="12" t="s">
        <v>38</v>
      </c>
      <c r="AE34" s="12"/>
      <c r="AF34" s="12"/>
      <c r="AG34" s="13" t="s">
        <v>38</v>
      </c>
      <c r="AH34" s="13"/>
      <c r="AI34" s="13"/>
      <c r="AJ34" s="13" t="s">
        <v>38</v>
      </c>
      <c r="AK34" s="13"/>
      <c r="AL34" s="13"/>
      <c r="AM34" s="13" t="s">
        <v>38</v>
      </c>
      <c r="AN34" s="13"/>
      <c r="AO34" s="13"/>
      <c r="AP34" s="13" t="s">
        <v>38</v>
      </c>
      <c r="AQ34" s="13"/>
      <c r="AR34" s="13"/>
      <c r="AS34" s="13" t="s">
        <v>38</v>
      </c>
      <c r="AT34" s="13"/>
      <c r="AU34" s="13"/>
      <c r="AV34" s="13" t="s">
        <v>38</v>
      </c>
      <c r="AW34" s="13"/>
      <c r="AX34" s="13"/>
      <c r="AY34" s="13" t="s">
        <v>38</v>
      </c>
      <c r="AZ34" s="13"/>
      <c r="BA34" s="13"/>
      <c r="BB34" s="14">
        <f>SUM(BC34:BE34)</f>
      </c>
      <c r="BC34" s="14">
        <f>COUNTA(I34,L34,O34,R34,U34,X34,AA34,AD34,AG34,AJ34,AM34,AP34,AS34,AV34,AY34,J34,M34,P34,S34,V34,Y34,AB34,AE34,AH34,AK34,AN34,AQ34,AT34,AW34,AZ34)</f>
      </c>
      <c r="BD34" s="14">
        <v>0</v>
      </c>
      <c r="BE34" s="14">
        <f>COUNTA(K34,N34,Q34,T34,W34,Z34,AC34,AF34,AI34,AL34,AO34,AR34,AU34,AX34,BA34)</f>
      </c>
      <c r="BF34" s="8" t="s">
        <v>40</v>
      </c>
    </row>
    <row r="35" spans="2:58" x14ac:dyDescent="0.25">
      <c r="B35" s="8" t="s">
        <v>33</v>
      </c>
      <c r="C35" s="8" t="s">
        <v>106</v>
      </c>
      <c r="D35" s="9" t="s">
        <v>110</v>
      </c>
      <c r="E35" s="9" t="s">
        <v>111</v>
      </c>
      <c r="F35" s="8" t="s">
        <v>112</v>
      </c>
      <c r="G35" s="8" t="s">
        <v>38</v>
      </c>
      <c r="H35" s="10" t="s">
        <v>83</v>
      </c>
      <c r="I35" s="11" t="s">
        <v>38</v>
      </c>
      <c r="J35" s="11"/>
      <c r="K35" s="11"/>
      <c r="L35" s="11" t="s">
        <v>38</v>
      </c>
      <c r="M35" s="11"/>
      <c r="N35" s="11"/>
      <c r="O35" s="11" t="s">
        <v>38</v>
      </c>
      <c r="P35" s="11"/>
      <c r="Q35" s="11"/>
      <c r="R35" s="11" t="s">
        <v>38</v>
      </c>
      <c r="S35" s="11"/>
      <c r="T35" s="11"/>
      <c r="U35" s="11" t="s">
        <v>38</v>
      </c>
      <c r="V35" s="11"/>
      <c r="W35" s="11"/>
      <c r="X35" s="12" t="s">
        <v>38</v>
      </c>
      <c r="Y35" s="12"/>
      <c r="Z35" s="12"/>
      <c r="AA35" s="12" t="s">
        <v>38</v>
      </c>
      <c r="AB35" s="12"/>
      <c r="AC35" s="12"/>
      <c r="AD35" s="12" t="s">
        <v>38</v>
      </c>
      <c r="AE35" s="12"/>
      <c r="AF35" s="12"/>
      <c r="AG35" s="13" t="s">
        <v>38</v>
      </c>
      <c r="AH35" s="13"/>
      <c r="AI35" s="13"/>
      <c r="AJ35" s="13" t="s">
        <v>38</v>
      </c>
      <c r="AK35" s="13"/>
      <c r="AL35" s="13"/>
      <c r="AM35" s="13" t="s">
        <v>38</v>
      </c>
      <c r="AN35" s="13"/>
      <c r="AO35" s="13"/>
      <c r="AP35" s="13" t="s">
        <v>38</v>
      </c>
      <c r="AQ35" s="13"/>
      <c r="AR35" s="13"/>
      <c r="AS35" s="13" t="s">
        <v>38</v>
      </c>
      <c r="AT35" s="13"/>
      <c r="AU35" s="13"/>
      <c r="AV35" s="13" t="s">
        <v>38</v>
      </c>
      <c r="AW35" s="13"/>
      <c r="AX35" s="13"/>
      <c r="AY35" s="13" t="s">
        <v>38</v>
      </c>
      <c r="AZ35" s="13"/>
      <c r="BA35" s="13"/>
      <c r="BB35" s="14">
        <f>SUM(BC35:BE35)</f>
      </c>
      <c r="BC35" s="14">
        <f>COUNTA(I35,L35,O35,R35,U35,X35,AA35,AD35,AG35,AJ35,AM35,AP35,AS35,AV35,AY35,J35,M35,P35,S35,V35,Y35,AB35,AE35,AH35,AK35,AN35,AQ35,AT35,AW35,AZ35)</f>
      </c>
      <c r="BD35" s="14">
        <v>0</v>
      </c>
      <c r="BE35" s="14">
        <f>COUNTA(K35,N35,Q35,T35,W35,Z35,AC35,AF35,AI35,AL35,AO35,AR35,AU35,AX35,BA35)</f>
      </c>
      <c r="BF35" s="8" t="s">
        <v>40</v>
      </c>
    </row>
    <row r="36" spans="2:58" x14ac:dyDescent="0.25">
      <c r="B36" s="8" t="s">
        <v>33</v>
      </c>
      <c r="C36" s="8" t="s">
        <v>106</v>
      </c>
      <c r="D36" s="9" t="s">
        <v>110</v>
      </c>
      <c r="E36" s="9" t="s">
        <v>113</v>
      </c>
      <c r="F36" s="8" t="s">
        <v>114</v>
      </c>
      <c r="G36" s="8" t="s">
        <v>38</v>
      </c>
      <c r="H36" s="10" t="s">
        <v>115</v>
      </c>
      <c r="I36" s="11" t="s">
        <v>38</v>
      </c>
      <c r="J36" s="11"/>
      <c r="K36" s="11"/>
      <c r="L36" s="11" t="s">
        <v>38</v>
      </c>
      <c r="M36" s="11"/>
      <c r="N36" s="11"/>
      <c r="O36" s="11" t="s">
        <v>38</v>
      </c>
      <c r="P36" s="11"/>
      <c r="Q36" s="11"/>
      <c r="R36" s="11" t="s">
        <v>38</v>
      </c>
      <c r="S36" s="11"/>
      <c r="T36" s="11"/>
      <c r="U36" s="11" t="s">
        <v>38</v>
      </c>
      <c r="V36" s="11"/>
      <c r="W36" s="11"/>
      <c r="X36" s="12" t="s">
        <v>38</v>
      </c>
      <c r="Y36" s="12"/>
      <c r="Z36" s="12"/>
      <c r="AA36" s="12" t="s">
        <v>38</v>
      </c>
      <c r="AB36" s="12"/>
      <c r="AC36" s="12"/>
      <c r="AD36" s="12" t="s">
        <v>38</v>
      </c>
      <c r="AE36" s="12"/>
      <c r="AF36" s="12"/>
      <c r="AG36" s="13" t="s">
        <v>38</v>
      </c>
      <c r="AH36" s="13"/>
      <c r="AI36" s="13"/>
      <c r="AJ36" s="13" t="s">
        <v>38</v>
      </c>
      <c r="AK36" s="13"/>
      <c r="AL36" s="13"/>
      <c r="AM36" s="13" t="s">
        <v>38</v>
      </c>
      <c r="AN36" s="13"/>
      <c r="AO36" s="13"/>
      <c r="AP36" s="13" t="s">
        <v>38</v>
      </c>
      <c r="AQ36" s="13"/>
      <c r="AR36" s="13"/>
      <c r="AS36" s="13" t="s">
        <v>38</v>
      </c>
      <c r="AT36" s="13"/>
      <c r="AU36" s="13"/>
      <c r="AV36" s="13" t="s">
        <v>38</v>
      </c>
      <c r="AW36" s="13"/>
      <c r="AX36" s="13"/>
      <c r="AY36" s="13" t="s">
        <v>38</v>
      </c>
      <c r="AZ36" s="13"/>
      <c r="BA36" s="13"/>
      <c r="BB36" s="14">
        <f>SUM(BC36:BE36)</f>
      </c>
      <c r="BC36" s="14">
        <f>COUNTA(I36,L36,O36,R36,U36,X36,AA36,AD36,AG36,AJ36,AM36,AP36,AS36,AV36,AY36,J36,M36,P36,S36,V36,Y36,AB36,AE36,AH36,AK36,AN36,AQ36,AT36,AW36,AZ36)</f>
      </c>
      <c r="BD36" s="14">
        <v>0</v>
      </c>
      <c r="BE36" s="14">
        <f>COUNTA(K36,N36,Q36,T36,W36,Z36,AC36,AF36,AI36,AL36,AO36,AR36,AU36,AX36,BA36)</f>
      </c>
      <c r="BF36" s="8" t="s">
        <v>40</v>
      </c>
    </row>
    <row r="37" spans="2:58" x14ac:dyDescent="0.25">
      <c r="B37" s="8" t="s">
        <v>33</v>
      </c>
      <c r="C37" s="8" t="s">
        <v>106</v>
      </c>
      <c r="D37" s="9" t="s">
        <v>88</v>
      </c>
      <c r="E37" s="9" t="s">
        <v>116</v>
      </c>
      <c r="F37" s="8" t="s">
        <v>117</v>
      </c>
      <c r="G37" s="8" t="s">
        <v>52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12"/>
      <c r="Z37" s="12"/>
      <c r="AA37" s="12"/>
      <c r="AB37" s="12"/>
      <c r="AC37" s="12"/>
      <c r="AD37" s="12"/>
      <c r="AE37" s="12"/>
      <c r="AF37" s="12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4">
        <f>SUM(BC37:BE37)</f>
      </c>
      <c r="BC37" s="14">
        <f>COUNTA(I37,L37,O37,R37,U37,X37,AA37,AD37,AG37,AJ37,AM37,AP37,AS37,AV37,AY37,J37,M37,P37,S37,V37,Y37,AB37,AE37,AH37,AK37,AN37,AQ37,AT37,AW37,AZ37)</f>
      </c>
      <c r="BD37" s="14">
        <v>0</v>
      </c>
      <c r="BE37" s="14">
        <f>COUNTA(K37,N37,Q37,T37,W37,Z37,AC37,AF37,AI37,AL37,AO37,AR37,AU37,AX37,BA37)</f>
      </c>
      <c r="BF37" s="8" t="s">
        <v>40</v>
      </c>
    </row>
    <row r="38" spans="2:58" x14ac:dyDescent="0.25">
      <c r="B38" s="8" t="s">
        <v>33</v>
      </c>
      <c r="C38" s="8" t="s">
        <v>106</v>
      </c>
      <c r="D38" s="9" t="s">
        <v>88</v>
      </c>
      <c r="E38" s="9" t="s">
        <v>118</v>
      </c>
      <c r="F38" s="8" t="s">
        <v>119</v>
      </c>
      <c r="G38" s="8" t="s">
        <v>38</v>
      </c>
      <c r="H38" s="10" t="s">
        <v>120</v>
      </c>
      <c r="I38" s="11" t="s">
        <v>38</v>
      </c>
      <c r="J38" s="11"/>
      <c r="K38" s="11"/>
      <c r="L38" s="11" t="s">
        <v>38</v>
      </c>
      <c r="M38" s="11"/>
      <c r="N38" s="11"/>
      <c r="O38" s="11" t="s">
        <v>38</v>
      </c>
      <c r="P38" s="11"/>
      <c r="Q38" s="11"/>
      <c r="R38" s="11" t="s">
        <v>38</v>
      </c>
      <c r="S38" s="11"/>
      <c r="T38" s="11"/>
      <c r="U38" s="11" t="s">
        <v>38</v>
      </c>
      <c r="V38" s="11"/>
      <c r="W38" s="11"/>
      <c r="X38" s="12" t="s">
        <v>38</v>
      </c>
      <c r="Y38" s="12"/>
      <c r="Z38" s="12"/>
      <c r="AA38" s="12" t="s">
        <v>38</v>
      </c>
      <c r="AB38" s="12"/>
      <c r="AC38" s="12"/>
      <c r="AD38" s="12" t="s">
        <v>38</v>
      </c>
      <c r="AE38" s="12"/>
      <c r="AF38" s="12"/>
      <c r="AG38" s="13" t="s">
        <v>38</v>
      </c>
      <c r="AH38" s="13"/>
      <c r="AI38" s="13"/>
      <c r="AJ38" s="13" t="s">
        <v>38</v>
      </c>
      <c r="AK38" s="13"/>
      <c r="AL38" s="13"/>
      <c r="AM38" s="13" t="s">
        <v>38</v>
      </c>
      <c r="AN38" s="13"/>
      <c r="AO38" s="13"/>
      <c r="AP38" s="13" t="s">
        <v>38</v>
      </c>
      <c r="AQ38" s="13"/>
      <c r="AR38" s="13"/>
      <c r="AS38" s="13" t="s">
        <v>38</v>
      </c>
      <c r="AT38" s="13"/>
      <c r="AU38" s="13"/>
      <c r="AV38" s="13" t="s">
        <v>38</v>
      </c>
      <c r="AW38" s="13"/>
      <c r="AX38" s="13"/>
      <c r="AY38" s="13" t="s">
        <v>38</v>
      </c>
      <c r="AZ38" s="13"/>
      <c r="BA38" s="13"/>
      <c r="BB38" s="14">
        <f>SUM(BC38:BE38)</f>
      </c>
      <c r="BC38" s="14">
        <f>COUNTA(I38,L38,O38,R38,U38,X38,AA38,AD38,AG38,AJ38,AM38,AP38,AS38,AV38,AY38,J38,M38,P38,S38,V38,Y38,AB38,AE38,AH38,AK38,AN38,AQ38,AT38,AW38,AZ38)</f>
      </c>
      <c r="BD38" s="14">
        <v>0</v>
      </c>
      <c r="BE38" s="14">
        <f>COUNTA(K38,N38,Q38,T38,W38,Z38,AC38,AF38,AI38,AL38,AO38,AR38,AU38,AX38,BA38)</f>
      </c>
      <c r="BF38" s="8" t="s">
        <v>40</v>
      </c>
    </row>
    <row r="39" spans="2:58" x14ac:dyDescent="0.25">
      <c r="B39" s="8" t="s">
        <v>33</v>
      </c>
      <c r="C39" s="8" t="s">
        <v>106</v>
      </c>
      <c r="D39" s="9" t="s">
        <v>88</v>
      </c>
      <c r="E39" s="9" t="s">
        <v>121</v>
      </c>
      <c r="F39" s="8" t="s">
        <v>122</v>
      </c>
      <c r="G39" s="8" t="s">
        <v>38</v>
      </c>
      <c r="H39" s="10" t="s">
        <v>120</v>
      </c>
      <c r="I39" s="11" t="s">
        <v>38</v>
      </c>
      <c r="J39" s="11"/>
      <c r="K39" s="11"/>
      <c r="L39" s="11" t="s">
        <v>38</v>
      </c>
      <c r="M39" s="11"/>
      <c r="N39" s="11"/>
      <c r="O39" s="11" t="s">
        <v>38</v>
      </c>
      <c r="P39" s="11"/>
      <c r="Q39" s="11"/>
      <c r="R39" s="11" t="s">
        <v>38</v>
      </c>
      <c r="S39" s="11"/>
      <c r="T39" s="11"/>
      <c r="U39" s="11" t="s">
        <v>38</v>
      </c>
      <c r="V39" s="11"/>
      <c r="W39" s="11"/>
      <c r="X39" s="12" t="s">
        <v>38</v>
      </c>
      <c r="Y39" s="12"/>
      <c r="Z39" s="12"/>
      <c r="AA39" s="12" t="s">
        <v>38</v>
      </c>
      <c r="AB39" s="12"/>
      <c r="AC39" s="12"/>
      <c r="AD39" s="12" t="s">
        <v>38</v>
      </c>
      <c r="AE39" s="12"/>
      <c r="AF39" s="12"/>
      <c r="AG39" s="13" t="s">
        <v>38</v>
      </c>
      <c r="AH39" s="13"/>
      <c r="AI39" s="13"/>
      <c r="AJ39" s="13" t="s">
        <v>38</v>
      </c>
      <c r="AK39" s="13"/>
      <c r="AL39" s="13"/>
      <c r="AM39" s="13" t="s">
        <v>38</v>
      </c>
      <c r="AN39" s="13"/>
      <c r="AO39" s="13"/>
      <c r="AP39" s="13" t="s">
        <v>38</v>
      </c>
      <c r="AQ39" s="13"/>
      <c r="AR39" s="13"/>
      <c r="AS39" s="13" t="s">
        <v>38</v>
      </c>
      <c r="AT39" s="13"/>
      <c r="AU39" s="13"/>
      <c r="AV39" s="13" t="s">
        <v>38</v>
      </c>
      <c r="AW39" s="13"/>
      <c r="AX39" s="13"/>
      <c r="AY39" s="13" t="s">
        <v>38</v>
      </c>
      <c r="AZ39" s="13"/>
      <c r="BA39" s="13"/>
      <c r="BB39" s="14">
        <f>SUM(BC39:BE39)</f>
      </c>
      <c r="BC39" s="14">
        <f>COUNTA(I39,L39,O39,R39,U39,X39,AA39,AD39,AG39,AJ39,AM39,AP39,AS39,AV39,AY39,J39,M39,P39,S39,V39,Y39,AB39,AE39,AH39,AK39,AN39,AQ39,AT39,AW39,AZ39)</f>
      </c>
      <c r="BD39" s="14">
        <v>0</v>
      </c>
      <c r="BE39" s="14">
        <f>COUNTA(K39,N39,Q39,T39,W39,Z39,AC39,AF39,AI39,AL39,AO39,AR39,AU39,AX39,BA39)</f>
      </c>
      <c r="BF39" s="8" t="s">
        <v>40</v>
      </c>
    </row>
    <row r="40" spans="2:58" x14ac:dyDescent="0.25">
      <c r="B40" s="8" t="s">
        <v>33</v>
      </c>
      <c r="C40" s="8" t="s">
        <v>106</v>
      </c>
      <c r="D40" s="9" t="s">
        <v>88</v>
      </c>
      <c r="E40" s="9" t="s">
        <v>123</v>
      </c>
      <c r="F40" s="8" t="s">
        <v>124</v>
      </c>
      <c r="G40" s="8" t="s">
        <v>52</v>
      </c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12"/>
      <c r="Z40" s="12"/>
      <c r="AA40" s="12"/>
      <c r="AB40" s="12"/>
      <c r="AC40" s="12"/>
      <c r="AD40" s="12"/>
      <c r="AE40" s="12"/>
      <c r="AF40" s="12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4">
        <f>SUM(BC40:BE40)</f>
      </c>
      <c r="BC40" s="14">
        <f>COUNTA(I40,L40,O40,R40,U40,X40,AA40,AD40,AG40,AJ40,AM40,AP40,AS40,AV40,AY40,J40,M40,P40,S40,V40,Y40,AB40,AE40,AH40,AK40,AN40,AQ40,AT40,AW40,AZ40)</f>
      </c>
      <c r="BD40" s="14">
        <v>0</v>
      </c>
      <c r="BE40" s="14">
        <f>COUNTA(K40,N40,Q40,T40,W40,Z40,AC40,AF40,AI40,AL40,AO40,AR40,AU40,AX40,BA40)</f>
      </c>
      <c r="BF40" s="8" t="s">
        <v>40</v>
      </c>
    </row>
    <row r="41" spans="2:58" x14ac:dyDescent="0.25">
      <c r="B41" s="8" t="s">
        <v>33</v>
      </c>
      <c r="C41" s="8" t="s">
        <v>106</v>
      </c>
      <c r="D41" s="9" t="s">
        <v>88</v>
      </c>
      <c r="E41" s="9" t="s">
        <v>125</v>
      </c>
      <c r="F41" s="8" t="s">
        <v>126</v>
      </c>
      <c r="G41" s="8" t="s">
        <v>38</v>
      </c>
      <c r="H41" s="10" t="s">
        <v>100</v>
      </c>
      <c r="I41" s="11" t="s">
        <v>38</v>
      </c>
      <c r="J41" s="11"/>
      <c r="K41" s="11"/>
      <c r="L41" s="11" t="s">
        <v>38</v>
      </c>
      <c r="M41" s="11"/>
      <c r="N41" s="11"/>
      <c r="O41" s="11" t="s">
        <v>38</v>
      </c>
      <c r="P41" s="11"/>
      <c r="Q41" s="11"/>
      <c r="R41" s="11" t="s">
        <v>38</v>
      </c>
      <c r="S41" s="11"/>
      <c r="T41" s="11"/>
      <c r="U41" s="11" t="s">
        <v>38</v>
      </c>
      <c r="V41" s="11"/>
      <c r="W41" s="11"/>
      <c r="X41" s="12" t="s">
        <v>38</v>
      </c>
      <c r="Y41" s="12"/>
      <c r="Z41" s="12"/>
      <c r="AA41" s="12" t="s">
        <v>38</v>
      </c>
      <c r="AB41" s="12"/>
      <c r="AC41" s="12"/>
      <c r="AD41" s="12" t="s">
        <v>38</v>
      </c>
      <c r="AE41" s="12"/>
      <c r="AF41" s="12"/>
      <c r="AG41" s="13" t="s">
        <v>38</v>
      </c>
      <c r="AH41" s="13"/>
      <c r="AI41" s="13"/>
      <c r="AJ41" s="13" t="s">
        <v>38</v>
      </c>
      <c r="AK41" s="13"/>
      <c r="AL41" s="13"/>
      <c r="AM41" s="13" t="s">
        <v>38</v>
      </c>
      <c r="AN41" s="13"/>
      <c r="AO41" s="13"/>
      <c r="AP41" s="13" t="s">
        <v>38</v>
      </c>
      <c r="AQ41" s="13"/>
      <c r="AR41" s="13"/>
      <c r="AS41" s="13" t="s">
        <v>38</v>
      </c>
      <c r="AT41" s="13"/>
      <c r="AU41" s="13"/>
      <c r="AV41" s="13" t="s">
        <v>38</v>
      </c>
      <c r="AW41" s="13"/>
      <c r="AX41" s="13"/>
      <c r="AY41" s="13" t="s">
        <v>38</v>
      </c>
      <c r="AZ41" s="13"/>
      <c r="BA41" s="13"/>
      <c r="BB41" s="14">
        <f>SUM(BC41:BE41)</f>
      </c>
      <c r="BC41" s="14">
        <f>COUNTA(I41,L41,O41,R41,U41,X41,AA41,AD41,AG41,AJ41,AM41,AP41,AS41,AV41,AY41,J41,M41,P41,S41,V41,Y41,AB41,AE41,AH41,AK41,AN41,AQ41,AT41,AW41,AZ41)</f>
      </c>
      <c r="BD41" s="14">
        <v>0</v>
      </c>
      <c r="BE41" s="14">
        <f>COUNTA(K41,N41,Q41,T41,W41,Z41,AC41,AF41,AI41,AL41,AO41,AR41,AU41,AX41,BA41)</f>
      </c>
      <c r="BF41" s="8" t="s">
        <v>40</v>
      </c>
    </row>
    <row r="42" spans="2:58" x14ac:dyDescent="0.25">
      <c r="B42" s="8" t="s">
        <v>33</v>
      </c>
      <c r="C42" s="8" t="s">
        <v>106</v>
      </c>
      <c r="D42" s="9" t="s">
        <v>67</v>
      </c>
      <c r="E42" s="9" t="s">
        <v>127</v>
      </c>
      <c r="F42" s="8" t="s">
        <v>128</v>
      </c>
      <c r="G42" s="8" t="s">
        <v>38</v>
      </c>
      <c r="H42" s="10" t="s">
        <v>83</v>
      </c>
      <c r="I42" s="11" t="s">
        <v>38</v>
      </c>
      <c r="J42" s="11"/>
      <c r="K42" s="11"/>
      <c r="L42" s="11" t="s">
        <v>38</v>
      </c>
      <c r="M42" s="11"/>
      <c r="N42" s="11"/>
      <c r="O42" s="11" t="s">
        <v>38</v>
      </c>
      <c r="P42" s="11"/>
      <c r="Q42" s="11"/>
      <c r="R42" s="11" t="s">
        <v>38</v>
      </c>
      <c r="S42" s="11"/>
      <c r="T42" s="11"/>
      <c r="U42" s="11" t="s">
        <v>38</v>
      </c>
      <c r="V42" s="11"/>
      <c r="W42" s="11"/>
      <c r="X42" s="12" t="s">
        <v>38</v>
      </c>
      <c r="Y42" s="12"/>
      <c r="Z42" s="12"/>
      <c r="AA42" s="12" t="s">
        <v>38</v>
      </c>
      <c r="AB42" s="12"/>
      <c r="AC42" s="12"/>
      <c r="AD42" s="12" t="s">
        <v>38</v>
      </c>
      <c r="AE42" s="12"/>
      <c r="AF42" s="12"/>
      <c r="AG42" s="13" t="s">
        <v>38</v>
      </c>
      <c r="AH42" s="13"/>
      <c r="AI42" s="13"/>
      <c r="AJ42" s="13" t="s">
        <v>38</v>
      </c>
      <c r="AK42" s="13"/>
      <c r="AL42" s="13"/>
      <c r="AM42" s="13" t="s">
        <v>38</v>
      </c>
      <c r="AN42" s="13"/>
      <c r="AO42" s="13"/>
      <c r="AP42" s="13" t="s">
        <v>38</v>
      </c>
      <c r="AQ42" s="13"/>
      <c r="AR42" s="13"/>
      <c r="AS42" s="13" t="s">
        <v>38</v>
      </c>
      <c r="AT42" s="13"/>
      <c r="AU42" s="13"/>
      <c r="AV42" s="13" t="s">
        <v>38</v>
      </c>
      <c r="AW42" s="13"/>
      <c r="AX42" s="13"/>
      <c r="AY42" s="13" t="s">
        <v>38</v>
      </c>
      <c r="AZ42" s="13"/>
      <c r="BA42" s="13"/>
      <c r="BB42" s="14">
        <f>SUM(BC42:BE42)</f>
      </c>
      <c r="BC42" s="14">
        <f>COUNTA(I42,L42,O42,R42,U42,X42,AA42,AD42,AG42,AJ42,AM42,AP42,AS42,AV42,AY42,J42,M42,P42,S42,V42,Y42,AB42,AE42,AH42,AK42,AN42,AQ42,AT42,AW42,AZ42)</f>
      </c>
      <c r="BD42" s="14">
        <v>0</v>
      </c>
      <c r="BE42" s="14">
        <f>COUNTA(K42,N42,Q42,T42,W42,Z42,AC42,AF42,AI42,AL42,AO42,AR42,AU42,AX42,BA42)</f>
      </c>
      <c r="BF42" s="8" t="s">
        <v>40</v>
      </c>
    </row>
    <row r="43" spans="2:58" x14ac:dyDescent="0.25">
      <c r="B43" s="8" t="s">
        <v>33</v>
      </c>
      <c r="C43" s="8" t="s">
        <v>106</v>
      </c>
      <c r="D43" s="9" t="s">
        <v>67</v>
      </c>
      <c r="E43" s="9" t="s">
        <v>129</v>
      </c>
      <c r="F43" s="8" t="s">
        <v>130</v>
      </c>
      <c r="G43" s="8" t="s">
        <v>52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2"/>
      <c r="Y43" s="12"/>
      <c r="Z43" s="12"/>
      <c r="AA43" s="12"/>
      <c r="AB43" s="12"/>
      <c r="AC43" s="12"/>
      <c r="AD43" s="12"/>
      <c r="AE43" s="12"/>
      <c r="AF43" s="12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4">
        <f>SUM(BC43:BE43)</f>
      </c>
      <c r="BC43" s="14">
        <f>COUNTA(I43,L43,O43,R43,U43,X43,AA43,AD43,AG43,AJ43,AM43,AP43,AS43,AV43,AY43,J43,M43,P43,S43,V43,Y43,AB43,AE43,AH43,AK43,AN43,AQ43,AT43,AW43,AZ43)</f>
      </c>
      <c r="BD43" s="14">
        <v>0</v>
      </c>
      <c r="BE43" s="14">
        <f>COUNTA(K43,N43,Q43,T43,W43,Z43,AC43,AF43,AI43,AL43,AO43,AR43,AU43,AX43,BA43)</f>
      </c>
      <c r="BF43" s="8" t="s">
        <v>40</v>
      </c>
    </row>
    <row r="44" spans="2:58" x14ac:dyDescent="0.25">
      <c r="B44" s="8" t="s">
        <v>33</v>
      </c>
      <c r="C44" s="8" t="s">
        <v>106</v>
      </c>
      <c r="D44" s="9" t="s">
        <v>40</v>
      </c>
      <c r="E44" s="9" t="s">
        <v>131</v>
      </c>
      <c r="F44" s="8" t="s">
        <v>132</v>
      </c>
      <c r="G44" s="8" t="s">
        <v>52</v>
      </c>
      <c r="H44" s="1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2"/>
      <c r="Y44" s="12"/>
      <c r="Z44" s="12"/>
      <c r="AA44" s="12"/>
      <c r="AB44" s="12"/>
      <c r="AC44" s="12"/>
      <c r="AD44" s="12"/>
      <c r="AE44" s="12"/>
      <c r="AF44" s="12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4">
        <f>SUM(BC44:BE44)</f>
      </c>
      <c r="BC44" s="14">
        <f>COUNTA(I44,L44,O44,R44,U44,X44,AA44,AD44,AG44,AJ44,AM44,AP44,AS44,AV44,AY44,J44,M44,P44,S44,V44,Y44,AB44,AE44,AH44,AK44,AN44,AQ44,AT44,AW44,AZ44)</f>
      </c>
      <c r="BD44" s="14">
        <v>0</v>
      </c>
      <c r="BE44" s="14">
        <f>COUNTA(K44,N44,Q44,T44,W44,Z44,AC44,AF44,AI44,AL44,AO44,AR44,AU44,AX44,BA44)</f>
      </c>
      <c r="BF44" s="8" t="s">
        <v>40</v>
      </c>
    </row>
    <row r="45" spans="2:58" x14ac:dyDescent="0.25">
      <c r="B45" s="8" t="s">
        <v>33</v>
      </c>
      <c r="C45" s="8" t="s">
        <v>133</v>
      </c>
      <c r="D45" s="9" t="s">
        <v>67</v>
      </c>
      <c r="E45" s="9" t="s">
        <v>134</v>
      </c>
      <c r="F45" s="8" t="s">
        <v>135</v>
      </c>
      <c r="G45" s="8" t="s">
        <v>52</v>
      </c>
      <c r="H45" s="10" t="s">
        <v>136</v>
      </c>
      <c r="I45" s="11" t="s">
        <v>38</v>
      </c>
      <c r="J45" s="11"/>
      <c r="K45" s="11"/>
      <c r="L45" s="11" t="s">
        <v>38</v>
      </c>
      <c r="M45" s="11"/>
      <c r="N45" s="11"/>
      <c r="O45" s="11" t="s">
        <v>38</v>
      </c>
      <c r="P45" s="11"/>
      <c r="Q45" s="11"/>
      <c r="R45" s="11" t="s">
        <v>38</v>
      </c>
      <c r="S45" s="11"/>
      <c r="T45" s="11"/>
      <c r="U45" s="11" t="s">
        <v>38</v>
      </c>
      <c r="V45" s="11"/>
      <c r="W45" s="11"/>
      <c r="X45" s="12" t="s">
        <v>38</v>
      </c>
      <c r="Y45" s="12"/>
      <c r="Z45" s="12"/>
      <c r="AA45" s="12" t="s">
        <v>38</v>
      </c>
      <c r="AB45" s="12"/>
      <c r="AC45" s="12"/>
      <c r="AD45" s="12" t="s">
        <v>38</v>
      </c>
      <c r="AE45" s="12"/>
      <c r="AF45" s="12"/>
      <c r="AG45" s="13" t="s">
        <v>38</v>
      </c>
      <c r="AH45" s="13"/>
      <c r="AI45" s="13"/>
      <c r="AJ45" s="13" t="s">
        <v>38</v>
      </c>
      <c r="AK45" s="13"/>
      <c r="AL45" s="13"/>
      <c r="AM45" s="13" t="s">
        <v>38</v>
      </c>
      <c r="AN45" s="13"/>
      <c r="AO45" s="13"/>
      <c r="AP45" s="13" t="s">
        <v>38</v>
      </c>
      <c r="AQ45" s="13"/>
      <c r="AR45" s="13"/>
      <c r="AS45" s="13" t="s">
        <v>38</v>
      </c>
      <c r="AT45" s="13"/>
      <c r="AU45" s="13"/>
      <c r="AV45" s="13" t="s">
        <v>38</v>
      </c>
      <c r="AW45" s="13"/>
      <c r="AX45" s="13"/>
      <c r="AY45" s="13" t="s">
        <v>38</v>
      </c>
      <c r="AZ45" s="13"/>
      <c r="BA45" s="13"/>
      <c r="BB45" s="14">
        <f>SUM(BC45:BE45)</f>
      </c>
      <c r="BC45" s="14">
        <f>COUNTA(I45,L45,O45,R45,U45,X45,AA45,AD45,AG45,AJ45,AM45,AP45,AS45,AV45,AY45,J45,M45,P45,S45,V45,Y45,AB45,AE45,AH45,AK45,AN45,AQ45,AT45,AW45,AZ45)</f>
      </c>
      <c r="BD45" s="14">
        <v>0</v>
      </c>
      <c r="BE45" s="14">
        <f>COUNTA(K45,N45,Q45,T45,W45,Z45,AC45,AF45,AI45,AL45,AO45,AR45,AU45,AX45,BA45)</f>
      </c>
      <c r="BF45" s="8" t="s">
        <v>40</v>
      </c>
    </row>
    <row r="46" spans="2:58" x14ac:dyDescent="0.25">
      <c r="B46" s="8" t="s">
        <v>33</v>
      </c>
      <c r="C46" s="8" t="s">
        <v>133</v>
      </c>
      <c r="D46" s="9" t="s">
        <v>67</v>
      </c>
      <c r="E46" s="9" t="s">
        <v>137</v>
      </c>
      <c r="F46" s="8" t="s">
        <v>138</v>
      </c>
      <c r="G46" s="8" t="s">
        <v>38</v>
      </c>
      <c r="H46" s="10" t="s">
        <v>139</v>
      </c>
      <c r="I46" s="11" t="s">
        <v>38</v>
      </c>
      <c r="J46" s="11"/>
      <c r="K46" s="11"/>
      <c r="L46" s="11" t="s">
        <v>38</v>
      </c>
      <c r="M46" s="11"/>
      <c r="N46" s="11"/>
      <c r="O46" s="11" t="s">
        <v>38</v>
      </c>
      <c r="P46" s="11"/>
      <c r="Q46" s="11"/>
      <c r="R46" s="11" t="s">
        <v>38</v>
      </c>
      <c r="S46" s="11"/>
      <c r="T46" s="11"/>
      <c r="U46" s="11" t="s">
        <v>38</v>
      </c>
      <c r="V46" s="11"/>
      <c r="W46" s="11"/>
      <c r="X46" s="12" t="s">
        <v>38</v>
      </c>
      <c r="Y46" s="12"/>
      <c r="Z46" s="12"/>
      <c r="AA46" s="12" t="s">
        <v>38</v>
      </c>
      <c r="AB46" s="12"/>
      <c r="AC46" s="12"/>
      <c r="AD46" s="12" t="s">
        <v>38</v>
      </c>
      <c r="AE46" s="12"/>
      <c r="AF46" s="12"/>
      <c r="AG46" s="13" t="s">
        <v>38</v>
      </c>
      <c r="AH46" s="13"/>
      <c r="AI46" s="13"/>
      <c r="AJ46" s="13" t="s">
        <v>38</v>
      </c>
      <c r="AK46" s="13"/>
      <c r="AL46" s="13"/>
      <c r="AM46" s="13" t="s">
        <v>38</v>
      </c>
      <c r="AN46" s="13"/>
      <c r="AO46" s="13"/>
      <c r="AP46" s="13" t="s">
        <v>38</v>
      </c>
      <c r="AQ46" s="13"/>
      <c r="AR46" s="13"/>
      <c r="AS46" s="13" t="s">
        <v>38</v>
      </c>
      <c r="AT46" s="13"/>
      <c r="AU46" s="13"/>
      <c r="AV46" s="13" t="s">
        <v>38</v>
      </c>
      <c r="AW46" s="13"/>
      <c r="AX46" s="13"/>
      <c r="AY46" s="13" t="s">
        <v>38</v>
      </c>
      <c r="AZ46" s="13"/>
      <c r="BA46" s="13"/>
      <c r="BB46" s="14">
        <f>SUM(BC46:BE46)</f>
      </c>
      <c r="BC46" s="14">
        <f>COUNTA(I46,L46,O46,R46,U46,X46,AA46,AD46,AG46,AJ46,AM46,AP46,AS46,AV46,AY46,J46,M46,P46,S46,V46,Y46,AB46,AE46,AH46,AK46,AN46,AQ46,AT46,AW46,AZ46)</f>
      </c>
      <c r="BD46" s="14">
        <v>0</v>
      </c>
      <c r="BE46" s="14">
        <f>COUNTA(K46,N46,Q46,T46,W46,Z46,AC46,AF46,AI46,AL46,AO46,AR46,AU46,AX46,BA46)</f>
      </c>
      <c r="BF46" s="8" t="s">
        <v>40</v>
      </c>
    </row>
    <row r="47" spans="2:58" x14ac:dyDescent="0.25">
      <c r="B47" s="8" t="s">
        <v>33</v>
      </c>
      <c r="C47" s="8" t="s">
        <v>133</v>
      </c>
      <c r="D47" s="9" t="s">
        <v>110</v>
      </c>
      <c r="E47" s="9" t="s">
        <v>140</v>
      </c>
      <c r="F47" s="8" t="s">
        <v>141</v>
      </c>
      <c r="G47" s="8" t="s">
        <v>38</v>
      </c>
      <c r="H47" s="10" t="s">
        <v>139</v>
      </c>
      <c r="I47" s="11" t="s">
        <v>38</v>
      </c>
      <c r="J47" s="11"/>
      <c r="K47" s="11"/>
      <c r="L47" s="11" t="s">
        <v>38</v>
      </c>
      <c r="M47" s="11"/>
      <c r="N47" s="11"/>
      <c r="O47" s="11"/>
      <c r="P47" s="11" t="s">
        <v>38</v>
      </c>
      <c r="Q47" s="11"/>
      <c r="R47" s="11" t="s">
        <v>38</v>
      </c>
      <c r="S47" s="11"/>
      <c r="T47" s="11"/>
      <c r="U47" s="11" t="s">
        <v>38</v>
      </c>
      <c r="V47" s="11"/>
      <c r="W47" s="11"/>
      <c r="X47" s="12" t="s">
        <v>38</v>
      </c>
      <c r="Y47" s="12"/>
      <c r="Z47" s="12"/>
      <c r="AA47" s="12" t="s">
        <v>38</v>
      </c>
      <c r="AB47" s="12"/>
      <c r="AC47" s="12"/>
      <c r="AD47" s="12" t="s">
        <v>38</v>
      </c>
      <c r="AE47" s="12"/>
      <c r="AF47" s="12"/>
      <c r="AG47" s="13" t="s">
        <v>38</v>
      </c>
      <c r="AH47" s="13"/>
      <c r="AI47" s="13"/>
      <c r="AJ47" s="13" t="s">
        <v>38</v>
      </c>
      <c r="AK47" s="13"/>
      <c r="AL47" s="13"/>
      <c r="AM47" s="13" t="s">
        <v>38</v>
      </c>
      <c r="AN47" s="13"/>
      <c r="AO47" s="13"/>
      <c r="AP47" s="13" t="s">
        <v>38</v>
      </c>
      <c r="AQ47" s="13"/>
      <c r="AR47" s="13"/>
      <c r="AS47" s="13" t="s">
        <v>38</v>
      </c>
      <c r="AT47" s="13"/>
      <c r="AU47" s="13"/>
      <c r="AV47" s="13" t="s">
        <v>38</v>
      </c>
      <c r="AW47" s="13"/>
      <c r="AX47" s="13"/>
      <c r="AY47" s="13" t="s">
        <v>38</v>
      </c>
      <c r="AZ47" s="13"/>
      <c r="BA47" s="13"/>
      <c r="BB47" s="14">
        <f>SUM(BC47:BE47)</f>
      </c>
      <c r="BC47" s="14">
        <f>COUNTA(I47,L47,O47,R47,U47,X47,AA47,AD47,AG47,AJ47,AM47,AP47,AS47,AV47,AY47,J47,M47,P47,S47,V47,Y47,AB47,AE47,AH47,AK47,AN47,AQ47,AT47,AW47,AZ47)</f>
      </c>
      <c r="BD47" s="14">
        <v>0</v>
      </c>
      <c r="BE47" s="14">
        <f>COUNTA(K47,N47,Q47,T47,W47,Z47,AC47,AF47,AI47,AL47,AO47,AR47,AU47,AX47,BA47)</f>
      </c>
      <c r="BF47" s="8" t="s">
        <v>40</v>
      </c>
    </row>
    <row r="48" spans="2:58" x14ac:dyDescent="0.25">
      <c r="B48" s="8" t="s">
        <v>33</v>
      </c>
      <c r="C48" s="8" t="s">
        <v>133</v>
      </c>
      <c r="D48" s="9" t="s">
        <v>110</v>
      </c>
      <c r="E48" s="9" t="s">
        <v>142</v>
      </c>
      <c r="F48" s="8" t="s">
        <v>143</v>
      </c>
      <c r="G48" s="8" t="s">
        <v>52</v>
      </c>
      <c r="H48" s="10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/>
      <c r="Y48" s="12"/>
      <c r="Z48" s="12"/>
      <c r="AA48" s="12"/>
      <c r="AB48" s="12"/>
      <c r="AC48" s="12"/>
      <c r="AD48" s="12"/>
      <c r="AE48" s="12"/>
      <c r="AF48" s="12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4">
        <f>SUM(BC48:BE48)</f>
      </c>
      <c r="BC48" s="14">
        <f>COUNTA(I48,L48,O48,R48,U48,X48,AA48,AD48,AG48,AJ48,AM48,AP48,AS48,AV48,AY48,J48,M48,P48,S48,V48,Y48,AB48,AE48,AH48,AK48,AN48,AQ48,AT48,AW48,AZ48)</f>
      </c>
      <c r="BD48" s="14">
        <v>0</v>
      </c>
      <c r="BE48" s="14">
        <f>COUNTA(K48,N48,Q48,T48,W48,Z48,AC48,AF48,AI48,AL48,AO48,AR48,AU48,AX48,BA48)</f>
      </c>
      <c r="BF48" s="8" t="s">
        <v>40</v>
      </c>
    </row>
    <row r="49" spans="2:58" x14ac:dyDescent="0.25">
      <c r="B49" s="8" t="s">
        <v>33</v>
      </c>
      <c r="C49" s="8" t="s">
        <v>133</v>
      </c>
      <c r="D49" s="9" t="s">
        <v>110</v>
      </c>
      <c r="E49" s="9" t="s">
        <v>144</v>
      </c>
      <c r="F49" s="8" t="s">
        <v>145</v>
      </c>
      <c r="G49" s="8" t="s">
        <v>38</v>
      </c>
      <c r="H49" s="10" t="s">
        <v>146</v>
      </c>
      <c r="I49" s="11" t="s">
        <v>38</v>
      </c>
      <c r="J49" s="11"/>
      <c r="K49" s="11"/>
      <c r="L49" s="11" t="s">
        <v>38</v>
      </c>
      <c r="M49" s="11"/>
      <c r="N49" s="11"/>
      <c r="O49" s="11" t="s">
        <v>38</v>
      </c>
      <c r="P49" s="11"/>
      <c r="Q49" s="11"/>
      <c r="R49" s="11" t="s">
        <v>38</v>
      </c>
      <c r="S49" s="11"/>
      <c r="T49" s="11"/>
      <c r="U49" s="11" t="s">
        <v>38</v>
      </c>
      <c r="V49" s="11"/>
      <c r="W49" s="11"/>
      <c r="X49" s="12" t="s">
        <v>38</v>
      </c>
      <c r="Y49" s="12"/>
      <c r="Z49" s="12"/>
      <c r="AA49" s="12" t="s">
        <v>38</v>
      </c>
      <c r="AB49" s="12"/>
      <c r="AC49" s="12"/>
      <c r="AD49" s="12" t="s">
        <v>38</v>
      </c>
      <c r="AE49" s="12"/>
      <c r="AF49" s="12"/>
      <c r="AG49" s="13" t="s">
        <v>38</v>
      </c>
      <c r="AH49" s="13"/>
      <c r="AI49" s="13"/>
      <c r="AJ49" s="13" t="s">
        <v>38</v>
      </c>
      <c r="AK49" s="13"/>
      <c r="AL49" s="13"/>
      <c r="AM49" s="13" t="s">
        <v>38</v>
      </c>
      <c r="AN49" s="13"/>
      <c r="AO49" s="13"/>
      <c r="AP49" s="13" t="s">
        <v>38</v>
      </c>
      <c r="AQ49" s="13"/>
      <c r="AR49" s="13"/>
      <c r="AS49" s="13" t="s">
        <v>38</v>
      </c>
      <c r="AT49" s="13"/>
      <c r="AU49" s="13"/>
      <c r="AV49" s="13" t="s">
        <v>38</v>
      </c>
      <c r="AW49" s="13"/>
      <c r="AX49" s="13"/>
      <c r="AY49" s="13" t="s">
        <v>38</v>
      </c>
      <c r="AZ49" s="13"/>
      <c r="BA49" s="13"/>
      <c r="BB49" s="14">
        <f>SUM(BC49:BE49)</f>
      </c>
      <c r="BC49" s="14">
        <f>COUNTA(I49,L49,O49,R49,U49,X49,AA49,AD49,AG49,AJ49,AM49,AP49,AS49,AV49,AY49,J49,M49,P49,S49,V49,Y49,AB49,AE49,AH49,AK49,AN49,AQ49,AT49,AW49,AZ49)</f>
      </c>
      <c r="BD49" s="14">
        <v>0</v>
      </c>
      <c r="BE49" s="14">
        <f>COUNTA(K49,N49,Q49,T49,W49,Z49,AC49,AF49,AI49,AL49,AO49,AR49,AU49,AX49,BA49)</f>
      </c>
      <c r="BF49" s="8" t="s">
        <v>40</v>
      </c>
    </row>
    <row r="50" spans="2:58" x14ac:dyDescent="0.25">
      <c r="B50" s="8" t="s">
        <v>33</v>
      </c>
      <c r="C50" s="8" t="s">
        <v>133</v>
      </c>
      <c r="D50" s="9" t="s">
        <v>110</v>
      </c>
      <c r="E50" s="9" t="s">
        <v>147</v>
      </c>
      <c r="F50" s="8" t="s">
        <v>148</v>
      </c>
      <c r="G50" s="8" t="s">
        <v>38</v>
      </c>
      <c r="H50" s="10" t="s">
        <v>115</v>
      </c>
      <c r="I50" s="11" t="s">
        <v>38</v>
      </c>
      <c r="J50" s="11"/>
      <c r="K50" s="11"/>
      <c r="L50" s="11" t="s">
        <v>38</v>
      </c>
      <c r="M50" s="11"/>
      <c r="N50" s="11"/>
      <c r="O50" s="11" t="s">
        <v>38</v>
      </c>
      <c r="P50" s="11"/>
      <c r="Q50" s="11"/>
      <c r="R50" s="11" t="s">
        <v>38</v>
      </c>
      <c r="S50" s="11"/>
      <c r="T50" s="11"/>
      <c r="U50" s="11" t="s">
        <v>38</v>
      </c>
      <c r="V50" s="11"/>
      <c r="W50" s="11"/>
      <c r="X50" s="12" t="s">
        <v>38</v>
      </c>
      <c r="Y50" s="12"/>
      <c r="Z50" s="12"/>
      <c r="AA50" s="12" t="s">
        <v>38</v>
      </c>
      <c r="AB50" s="12"/>
      <c r="AC50" s="12"/>
      <c r="AD50" s="12" t="s">
        <v>38</v>
      </c>
      <c r="AE50" s="12"/>
      <c r="AF50" s="12"/>
      <c r="AG50" s="13"/>
      <c r="AH50" s="13" t="s">
        <v>38</v>
      </c>
      <c r="AI50" s="13"/>
      <c r="AJ50" s="13" t="s">
        <v>38</v>
      </c>
      <c r="AK50" s="13"/>
      <c r="AL50" s="13"/>
      <c r="AM50" s="13" t="s">
        <v>38</v>
      </c>
      <c r="AN50" s="13"/>
      <c r="AO50" s="13"/>
      <c r="AP50" s="13" t="s">
        <v>38</v>
      </c>
      <c r="AQ50" s="13"/>
      <c r="AR50" s="13"/>
      <c r="AS50" s="13"/>
      <c r="AT50" s="13" t="s">
        <v>38</v>
      </c>
      <c r="AU50" s="13"/>
      <c r="AV50" s="13" t="s">
        <v>38</v>
      </c>
      <c r="AW50" s="13"/>
      <c r="AX50" s="13"/>
      <c r="AY50" s="13" t="s">
        <v>38</v>
      </c>
      <c r="AZ50" s="13"/>
      <c r="BA50" s="13"/>
      <c r="BB50" s="14">
        <f>SUM(BC50:BE50)</f>
      </c>
      <c r="BC50" s="14">
        <f>COUNTA(I50,L50,O50,R50,U50,X50,AA50,AD50,AG50,AJ50,AM50,AP50,AS50,AV50,AY50,J50,M50,P50,S50,V50,Y50,AB50,AE50,AH50,AK50,AN50,AQ50,AT50,AW50,AZ50)</f>
      </c>
      <c r="BD50" s="14">
        <v>0</v>
      </c>
      <c r="BE50" s="14">
        <f>COUNTA(K50,N50,Q50,T50,W50,Z50,AC50,AF50,AI50,AL50,AO50,AR50,AU50,AX50,BA50)</f>
      </c>
      <c r="BF50" s="8" t="s">
        <v>40</v>
      </c>
    </row>
    <row r="51" spans="2:58" x14ac:dyDescent="0.25">
      <c r="B51" s="8" t="s">
        <v>33</v>
      </c>
      <c r="C51" s="8" t="s">
        <v>133</v>
      </c>
      <c r="D51" s="9" t="s">
        <v>110</v>
      </c>
      <c r="E51" s="9" t="s">
        <v>149</v>
      </c>
      <c r="F51" s="8" t="s">
        <v>150</v>
      </c>
      <c r="G51" s="8" t="s">
        <v>38</v>
      </c>
      <c r="H51" s="10" t="s">
        <v>136</v>
      </c>
      <c r="I51" s="11" t="s">
        <v>38</v>
      </c>
      <c r="J51" s="11"/>
      <c r="K51" s="11"/>
      <c r="L51" s="11" t="s">
        <v>38</v>
      </c>
      <c r="M51" s="11"/>
      <c r="N51" s="11"/>
      <c r="O51" s="11" t="s">
        <v>38</v>
      </c>
      <c r="P51" s="11"/>
      <c r="Q51" s="11"/>
      <c r="R51" s="11" t="s">
        <v>38</v>
      </c>
      <c r="S51" s="11"/>
      <c r="T51" s="11"/>
      <c r="U51" s="11" t="s">
        <v>38</v>
      </c>
      <c r="V51" s="11"/>
      <c r="W51" s="11"/>
      <c r="X51" s="12" t="s">
        <v>38</v>
      </c>
      <c r="Y51" s="12"/>
      <c r="Z51" s="12"/>
      <c r="AA51" s="12" t="s">
        <v>38</v>
      </c>
      <c r="AB51" s="12"/>
      <c r="AC51" s="12"/>
      <c r="AD51" s="12" t="s">
        <v>38</v>
      </c>
      <c r="AE51" s="12"/>
      <c r="AF51" s="12"/>
      <c r="AG51" s="13" t="s">
        <v>38</v>
      </c>
      <c r="AH51" s="13"/>
      <c r="AI51" s="13"/>
      <c r="AJ51" s="13" t="s">
        <v>38</v>
      </c>
      <c r="AK51" s="13"/>
      <c r="AL51" s="13"/>
      <c r="AM51" s="13" t="s">
        <v>38</v>
      </c>
      <c r="AN51" s="13"/>
      <c r="AO51" s="13"/>
      <c r="AP51" s="13" t="s">
        <v>38</v>
      </c>
      <c r="AQ51" s="13"/>
      <c r="AR51" s="13"/>
      <c r="AS51" s="13" t="s">
        <v>38</v>
      </c>
      <c r="AT51" s="13"/>
      <c r="AU51" s="13"/>
      <c r="AV51" s="13" t="s">
        <v>38</v>
      </c>
      <c r="AW51" s="13"/>
      <c r="AX51" s="13"/>
      <c r="AY51" s="13" t="s">
        <v>38</v>
      </c>
      <c r="AZ51" s="13"/>
      <c r="BA51" s="13"/>
      <c r="BB51" s="14">
        <f>SUM(BC51:BE51)</f>
      </c>
      <c r="BC51" s="14">
        <f>COUNTA(I51,L51,O51,R51,U51,X51,AA51,AD51,AG51,AJ51,AM51,AP51,AS51,AV51,AY51,J51,M51,P51,S51,V51,Y51,AB51,AE51,AH51,AK51,AN51,AQ51,AT51,AW51,AZ51)</f>
      </c>
      <c r="BD51" s="14">
        <v>0</v>
      </c>
      <c r="BE51" s="14">
        <f>COUNTA(K51,N51,Q51,T51,W51,Z51,AC51,AF51,AI51,AL51,AO51,AR51,AU51,AX51,BA51)</f>
      </c>
      <c r="BF51" s="8" t="s">
        <v>40</v>
      </c>
    </row>
    <row r="52" spans="2:58" x14ac:dyDescent="0.25">
      <c r="B52" s="8" t="s">
        <v>33</v>
      </c>
      <c r="C52" s="8" t="s">
        <v>133</v>
      </c>
      <c r="D52" s="9" t="s">
        <v>151</v>
      </c>
      <c r="E52" s="9" t="s">
        <v>152</v>
      </c>
      <c r="F52" s="8" t="s">
        <v>153</v>
      </c>
      <c r="G52" s="8" t="s">
        <v>38</v>
      </c>
      <c r="H52" s="10" t="s">
        <v>154</v>
      </c>
      <c r="I52" s="11" t="s">
        <v>38</v>
      </c>
      <c r="J52" s="11"/>
      <c r="K52" s="11"/>
      <c r="L52" s="11" t="s">
        <v>38</v>
      </c>
      <c r="M52" s="11"/>
      <c r="N52" s="11"/>
      <c r="O52" s="11" t="s">
        <v>38</v>
      </c>
      <c r="P52" s="11"/>
      <c r="Q52" s="11"/>
      <c r="R52" s="11"/>
      <c r="S52" s="11" t="s">
        <v>38</v>
      </c>
      <c r="T52" s="11"/>
      <c r="U52" s="11" t="s">
        <v>38</v>
      </c>
      <c r="V52" s="11"/>
      <c r="W52" s="11"/>
      <c r="X52" s="12"/>
      <c r="Y52" s="12" t="s">
        <v>38</v>
      </c>
      <c r="Z52" s="12"/>
      <c r="AA52" s="12" t="s">
        <v>38</v>
      </c>
      <c r="AB52" s="12"/>
      <c r="AC52" s="12"/>
      <c r="AD52" s="12" t="s">
        <v>38</v>
      </c>
      <c r="AE52" s="12"/>
      <c r="AF52" s="12"/>
      <c r="AG52" s="13" t="s">
        <v>38</v>
      </c>
      <c r="AH52" s="13"/>
      <c r="AI52" s="13"/>
      <c r="AJ52" s="13" t="s">
        <v>38</v>
      </c>
      <c r="AK52" s="13"/>
      <c r="AL52" s="13"/>
      <c r="AM52" s="13" t="s">
        <v>38</v>
      </c>
      <c r="AN52" s="13"/>
      <c r="AO52" s="13"/>
      <c r="AP52" s="13" t="s">
        <v>38</v>
      </c>
      <c r="AQ52" s="13"/>
      <c r="AR52" s="13"/>
      <c r="AS52" s="13"/>
      <c r="AT52" s="13" t="s">
        <v>38</v>
      </c>
      <c r="AU52" s="13"/>
      <c r="AV52" s="13" t="s">
        <v>38</v>
      </c>
      <c r="AW52" s="13"/>
      <c r="AX52" s="13"/>
      <c r="AY52" s="13" t="s">
        <v>38</v>
      </c>
      <c r="AZ52" s="13"/>
      <c r="BA52" s="13"/>
      <c r="BB52" s="14">
        <f>SUM(BC52:BE52)</f>
      </c>
      <c r="BC52" s="14">
        <f>COUNTA(I52,L52,O52,R52,U52,X52,AA52,AD52,AG52,AJ52,AM52,AP52,AS52,AV52,AY52,J52,M52,P52,S52,V52,Y52,AB52,AE52,AH52,AK52,AN52,AQ52,AT52,AW52,AZ52)</f>
      </c>
      <c r="BD52" s="14">
        <v>0</v>
      </c>
      <c r="BE52" s="14">
        <f>COUNTA(K52,N52,Q52,T52,W52,Z52,AC52,AF52,AI52,AL52,AO52,AR52,AU52,AX52,BA52)</f>
      </c>
      <c r="BF52" s="8" t="s">
        <v>40</v>
      </c>
    </row>
    <row r="53" spans="2:58" x14ac:dyDescent="0.25">
      <c r="B53" s="8" t="s">
        <v>33</v>
      </c>
      <c r="C53" s="8" t="s">
        <v>133</v>
      </c>
      <c r="D53" s="9" t="s">
        <v>84</v>
      </c>
      <c r="E53" s="9" t="s">
        <v>155</v>
      </c>
      <c r="F53" s="8" t="s">
        <v>156</v>
      </c>
      <c r="G53" s="8" t="s">
        <v>38</v>
      </c>
      <c r="H53" s="10" t="s">
        <v>139</v>
      </c>
      <c r="I53" s="11" t="s">
        <v>38</v>
      </c>
      <c r="J53" s="11"/>
      <c r="K53" s="11"/>
      <c r="L53" s="11" t="s">
        <v>38</v>
      </c>
      <c r="M53" s="11"/>
      <c r="N53" s="11"/>
      <c r="O53" s="11" t="s">
        <v>38</v>
      </c>
      <c r="P53" s="11"/>
      <c r="Q53" s="11"/>
      <c r="R53" s="11" t="s">
        <v>38</v>
      </c>
      <c r="S53" s="11"/>
      <c r="T53" s="11"/>
      <c r="U53" s="11" t="s">
        <v>38</v>
      </c>
      <c r="V53" s="11"/>
      <c r="W53" s="11"/>
      <c r="X53" s="12" t="s">
        <v>38</v>
      </c>
      <c r="Y53" s="12"/>
      <c r="Z53" s="12"/>
      <c r="AA53" s="12" t="s">
        <v>38</v>
      </c>
      <c r="AB53" s="12"/>
      <c r="AC53" s="12"/>
      <c r="AD53" s="12" t="s">
        <v>38</v>
      </c>
      <c r="AE53" s="12"/>
      <c r="AF53" s="12"/>
      <c r="AG53" s="13" t="s">
        <v>38</v>
      </c>
      <c r="AH53" s="13"/>
      <c r="AI53" s="13"/>
      <c r="AJ53" s="13" t="s">
        <v>38</v>
      </c>
      <c r="AK53" s="13"/>
      <c r="AL53" s="13"/>
      <c r="AM53" s="13" t="s">
        <v>38</v>
      </c>
      <c r="AN53" s="13"/>
      <c r="AO53" s="13"/>
      <c r="AP53" s="13" t="s">
        <v>38</v>
      </c>
      <c r="AQ53" s="13"/>
      <c r="AR53" s="13"/>
      <c r="AS53" s="13" t="s">
        <v>38</v>
      </c>
      <c r="AT53" s="13"/>
      <c r="AU53" s="13"/>
      <c r="AV53" s="13" t="s">
        <v>38</v>
      </c>
      <c r="AW53" s="13"/>
      <c r="AX53" s="13"/>
      <c r="AY53" s="13" t="s">
        <v>38</v>
      </c>
      <c r="AZ53" s="13"/>
      <c r="BA53" s="13"/>
      <c r="BB53" s="14">
        <f>SUM(BC53:BE53)</f>
      </c>
      <c r="BC53" s="14">
        <f>COUNTA(I53,L53,O53,R53,U53,X53,AA53,AD53,AG53,AJ53,AM53,AP53,AS53,AV53,AY53,J53,M53,P53,S53,V53,Y53,AB53,AE53,AH53,AK53,AN53,AQ53,AT53,AW53,AZ53)</f>
      </c>
      <c r="BD53" s="14">
        <v>0</v>
      </c>
      <c r="BE53" s="14">
        <f>COUNTA(K53,N53,Q53,T53,W53,Z53,AC53,AF53,AI53,AL53,AO53,AR53,AU53,AX53,BA53)</f>
      </c>
      <c r="BF53" s="8" t="s">
        <v>40</v>
      </c>
    </row>
    <row r="54" spans="2:58" x14ac:dyDescent="0.25">
      <c r="B54" s="8" t="s">
        <v>33</v>
      </c>
      <c r="C54" s="8" t="s">
        <v>133</v>
      </c>
      <c r="D54" s="9" t="s">
        <v>110</v>
      </c>
      <c r="E54" s="9" t="s">
        <v>157</v>
      </c>
      <c r="F54" s="8" t="s">
        <v>158</v>
      </c>
      <c r="G54" s="8" t="s">
        <v>38</v>
      </c>
      <c r="H54" s="10" t="s">
        <v>159</v>
      </c>
      <c r="I54" s="11" t="s">
        <v>38</v>
      </c>
      <c r="J54" s="11"/>
      <c r="K54" s="11"/>
      <c r="L54" s="11" t="s">
        <v>38</v>
      </c>
      <c r="M54" s="11"/>
      <c r="N54" s="11"/>
      <c r="O54" s="11" t="s">
        <v>38</v>
      </c>
      <c r="P54" s="11"/>
      <c r="Q54" s="11"/>
      <c r="R54" s="11" t="s">
        <v>38</v>
      </c>
      <c r="S54" s="11"/>
      <c r="T54" s="11"/>
      <c r="U54" s="11" t="s">
        <v>38</v>
      </c>
      <c r="V54" s="11"/>
      <c r="W54" s="11"/>
      <c r="X54" s="12" t="s">
        <v>38</v>
      </c>
      <c r="Y54" s="12"/>
      <c r="Z54" s="12"/>
      <c r="AA54" s="12" t="s">
        <v>38</v>
      </c>
      <c r="AB54" s="12"/>
      <c r="AC54" s="12"/>
      <c r="AD54" s="12" t="s">
        <v>38</v>
      </c>
      <c r="AE54" s="12"/>
      <c r="AF54" s="12"/>
      <c r="AG54" s="13" t="s">
        <v>38</v>
      </c>
      <c r="AH54" s="13"/>
      <c r="AI54" s="13"/>
      <c r="AJ54" s="13" t="s">
        <v>38</v>
      </c>
      <c r="AK54" s="13"/>
      <c r="AL54" s="13"/>
      <c r="AM54" s="13" t="s">
        <v>38</v>
      </c>
      <c r="AN54" s="13"/>
      <c r="AO54" s="13"/>
      <c r="AP54" s="13" t="s">
        <v>38</v>
      </c>
      <c r="AQ54" s="13"/>
      <c r="AR54" s="13"/>
      <c r="AS54" s="13" t="s">
        <v>38</v>
      </c>
      <c r="AT54" s="13"/>
      <c r="AU54" s="13"/>
      <c r="AV54" s="13" t="s">
        <v>38</v>
      </c>
      <c r="AW54" s="13"/>
      <c r="AX54" s="13"/>
      <c r="AY54" s="13" t="s">
        <v>38</v>
      </c>
      <c r="AZ54" s="13"/>
      <c r="BA54" s="13"/>
      <c r="BB54" s="14">
        <f>SUM(BC54:BE54)</f>
      </c>
      <c r="BC54" s="14">
        <f>COUNTA(I54,L54,O54,R54,U54,X54,AA54,AD54,AG54,AJ54,AM54,AP54,AS54,AV54,AY54,J54,M54,P54,S54,V54,Y54,AB54,AE54,AH54,AK54,AN54,AQ54,AT54,AW54,AZ54)</f>
      </c>
      <c r="BD54" s="14">
        <v>0</v>
      </c>
      <c r="BE54" s="14">
        <f>COUNTA(K54,N54,Q54,T54,W54,Z54,AC54,AF54,AI54,AL54,AO54,AR54,AU54,AX54,BA54)</f>
      </c>
      <c r="BF54" s="8" t="s">
        <v>40</v>
      </c>
    </row>
    <row r="55" spans="2:58" x14ac:dyDescent="0.25">
      <c r="B55" s="8" t="s">
        <v>33</v>
      </c>
      <c r="C55" s="8" t="s">
        <v>133</v>
      </c>
      <c r="D55" s="9" t="s">
        <v>67</v>
      </c>
      <c r="E55" s="9" t="s">
        <v>160</v>
      </c>
      <c r="F55" s="8" t="s">
        <v>161</v>
      </c>
      <c r="G55" s="8" t="s">
        <v>52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12"/>
      <c r="Z55" s="12"/>
      <c r="AA55" s="12"/>
      <c r="AB55" s="12"/>
      <c r="AC55" s="12"/>
      <c r="AD55" s="12"/>
      <c r="AE55" s="12"/>
      <c r="AF55" s="12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4">
        <f>SUM(BC55:BE55)</f>
      </c>
      <c r="BC55" s="14">
        <f>COUNTA(I55,L55,O55,R55,U55,X55,AA55,AD55,AG55,AJ55,AM55,AP55,AS55,AV55,AY55,J55,M55,P55,S55,V55,Y55,AB55,AE55,AH55,AK55,AN55,AQ55,AT55,AW55,AZ55)</f>
      </c>
      <c r="BD55" s="14">
        <v>0</v>
      </c>
      <c r="BE55" s="14">
        <f>COUNTA(K55,N55,Q55,T55,W55,Z55,AC55,AF55,AI55,AL55,AO55,AR55,AU55,AX55,BA55)</f>
      </c>
      <c r="BF55" s="8" t="s">
        <v>40</v>
      </c>
    </row>
    <row r="56" spans="2:58" x14ac:dyDescent="0.25">
      <c r="B56" s="8" t="s">
        <v>33</v>
      </c>
      <c r="C56" s="8" t="s">
        <v>133</v>
      </c>
      <c r="D56" s="9" t="s">
        <v>110</v>
      </c>
      <c r="E56" s="9" t="s">
        <v>162</v>
      </c>
      <c r="F56" s="8" t="s">
        <v>163</v>
      </c>
      <c r="G56" s="8" t="s">
        <v>52</v>
      </c>
      <c r="H56" s="1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12"/>
      <c r="Z56" s="12"/>
      <c r="AA56" s="12"/>
      <c r="AB56" s="12"/>
      <c r="AC56" s="12"/>
      <c r="AD56" s="12"/>
      <c r="AE56" s="12"/>
      <c r="AF56" s="12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>
        <f>SUM(BC56:BE56)</f>
      </c>
      <c r="BC56" s="14">
        <f>COUNTA(I56,L56,O56,R56,U56,X56,AA56,AD56,AG56,AJ56,AM56,AP56,AS56,AV56,AY56,J56,M56,P56,S56,V56,Y56,AB56,AE56,AH56,AK56,AN56,AQ56,AT56,AW56,AZ56)</f>
      </c>
      <c r="BD56" s="14">
        <v>0</v>
      </c>
      <c r="BE56" s="14">
        <f>COUNTA(K56,N56,Q56,T56,W56,Z56,AC56,AF56,AI56,AL56,AO56,AR56,AU56,AX56,BA56)</f>
      </c>
      <c r="BF56" s="8" t="s">
        <v>40</v>
      </c>
    </row>
    <row r="57" spans="2:58" x14ac:dyDescent="0.25">
      <c r="B57" s="8" t="s">
        <v>33</v>
      </c>
      <c r="C57" s="8" t="s">
        <v>133</v>
      </c>
      <c r="D57" s="9" t="s">
        <v>110</v>
      </c>
      <c r="E57" s="9" t="s">
        <v>164</v>
      </c>
      <c r="F57" s="8" t="s">
        <v>165</v>
      </c>
      <c r="G57" s="8" t="s">
        <v>52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12"/>
      <c r="Z57" s="12"/>
      <c r="AA57" s="12"/>
      <c r="AB57" s="12"/>
      <c r="AC57" s="12"/>
      <c r="AD57" s="12"/>
      <c r="AE57" s="12"/>
      <c r="AF57" s="12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>
        <f>SUM(BC57:BE57)</f>
      </c>
      <c r="BC57" s="14">
        <f>COUNTA(I57,L57,O57,R57,U57,X57,AA57,AD57,AG57,AJ57,AM57,AP57,AS57,AV57,AY57,J57,M57,P57,S57,V57,Y57,AB57,AE57,AH57,AK57,AN57,AQ57,AT57,AW57,AZ57)</f>
      </c>
      <c r="BD57" s="14">
        <v>0</v>
      </c>
      <c r="BE57" s="14">
        <f>COUNTA(K57,N57,Q57,T57,W57,Z57,AC57,AF57,AI57,AL57,AO57,AR57,AU57,AX57,BA57)</f>
      </c>
      <c r="BF57" s="8" t="s">
        <v>40</v>
      </c>
    </row>
    <row r="58" spans="2:58" x14ac:dyDescent="0.25">
      <c r="B58" s="8" t="s">
        <v>33</v>
      </c>
      <c r="C58" s="8" t="s">
        <v>166</v>
      </c>
      <c r="D58" s="9" t="s">
        <v>67</v>
      </c>
      <c r="E58" s="9" t="s">
        <v>167</v>
      </c>
      <c r="F58" s="8" t="s">
        <v>168</v>
      </c>
      <c r="G58" s="8" t="s">
        <v>52</v>
      </c>
      <c r="H58" s="1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12"/>
      <c r="Z58" s="12"/>
      <c r="AA58" s="12"/>
      <c r="AB58" s="12"/>
      <c r="AC58" s="12"/>
      <c r="AD58" s="12"/>
      <c r="AE58" s="12"/>
      <c r="AF58" s="12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>
        <f>SUM(BC58:BE58)</f>
      </c>
      <c r="BC58" s="14">
        <f>COUNTA(I58,L58,O58,R58,U58,X58,AA58,AD58,AG58,AJ58,AM58,AP58,AS58,AV58,AY58,J58,M58,P58,S58,V58,Y58,AB58,AE58,AH58,AK58,AN58,AQ58,AT58,AW58,AZ58)</f>
      </c>
      <c r="BD58" s="14">
        <v>0</v>
      </c>
      <c r="BE58" s="14">
        <f>COUNTA(K58,N58,Q58,T58,W58,Z58,AC58,AF58,AI58,AL58,AO58,AR58,AU58,AX58,BA58)</f>
      </c>
      <c r="BF58" s="8" t="s">
        <v>40</v>
      </c>
    </row>
    <row r="59" spans="2:58" x14ac:dyDescent="0.25">
      <c r="B59" s="8" t="s">
        <v>33</v>
      </c>
      <c r="C59" s="8" t="s">
        <v>166</v>
      </c>
      <c r="D59" s="9" t="s">
        <v>67</v>
      </c>
      <c r="E59" s="9" t="s">
        <v>169</v>
      </c>
      <c r="F59" s="8" t="s">
        <v>170</v>
      </c>
      <c r="G59" s="8" t="s">
        <v>38</v>
      </c>
      <c r="H59" s="10" t="s">
        <v>171</v>
      </c>
      <c r="I59" s="11" t="s">
        <v>38</v>
      </c>
      <c r="J59" s="11"/>
      <c r="K59" s="11"/>
      <c r="L59" s="11" t="s">
        <v>38</v>
      </c>
      <c r="M59" s="11"/>
      <c r="N59" s="11"/>
      <c r="O59" s="11" t="s">
        <v>38</v>
      </c>
      <c r="P59" s="11"/>
      <c r="Q59" s="11"/>
      <c r="R59" s="11" t="s">
        <v>38</v>
      </c>
      <c r="S59" s="11"/>
      <c r="T59" s="11"/>
      <c r="U59" s="11" t="s">
        <v>38</v>
      </c>
      <c r="V59" s="11"/>
      <c r="W59" s="11"/>
      <c r="X59" s="12" t="s">
        <v>38</v>
      </c>
      <c r="Y59" s="12"/>
      <c r="Z59" s="12"/>
      <c r="AA59" s="12" t="s">
        <v>38</v>
      </c>
      <c r="AB59" s="12"/>
      <c r="AC59" s="12"/>
      <c r="AD59" s="12" t="s">
        <v>38</v>
      </c>
      <c r="AE59" s="12"/>
      <c r="AF59" s="12"/>
      <c r="AG59" s="13" t="s">
        <v>38</v>
      </c>
      <c r="AH59" s="13"/>
      <c r="AI59" s="13"/>
      <c r="AJ59" s="13" t="s">
        <v>38</v>
      </c>
      <c r="AK59" s="13"/>
      <c r="AL59" s="13"/>
      <c r="AM59" s="13" t="s">
        <v>38</v>
      </c>
      <c r="AN59" s="13"/>
      <c r="AO59" s="13"/>
      <c r="AP59" s="13" t="s">
        <v>38</v>
      </c>
      <c r="AQ59" s="13"/>
      <c r="AR59" s="13"/>
      <c r="AS59" s="13" t="s">
        <v>38</v>
      </c>
      <c r="AT59" s="13"/>
      <c r="AU59" s="13"/>
      <c r="AV59" s="13" t="s">
        <v>38</v>
      </c>
      <c r="AW59" s="13"/>
      <c r="AX59" s="13"/>
      <c r="AY59" s="13" t="s">
        <v>38</v>
      </c>
      <c r="AZ59" s="13"/>
      <c r="BA59" s="13"/>
      <c r="BB59" s="14">
        <f>SUM(BC59:BE59)</f>
      </c>
      <c r="BC59" s="14">
        <f>COUNTA(I59,L59,O59,R59,U59,X59,AA59,AD59,AG59,AJ59,AM59,AP59,AS59,AV59,AY59,J59,M59,P59,S59,V59,Y59,AB59,AE59,AH59,AK59,AN59,AQ59,AT59,AW59,AZ59)</f>
      </c>
      <c r="BD59" s="14">
        <v>0</v>
      </c>
      <c r="BE59" s="14">
        <f>COUNTA(K59,N59,Q59,T59,W59,Z59,AC59,AF59,AI59,AL59,AO59,AR59,AU59,AX59,BA59)</f>
      </c>
      <c r="BF59" s="8" t="s">
        <v>40</v>
      </c>
    </row>
    <row r="60" spans="2:58" x14ac:dyDescent="0.25">
      <c r="B60" s="8" t="s">
        <v>33</v>
      </c>
      <c r="C60" s="8" t="s">
        <v>166</v>
      </c>
      <c r="D60" s="9" t="s">
        <v>110</v>
      </c>
      <c r="E60" s="9" t="s">
        <v>172</v>
      </c>
      <c r="F60" s="8" t="s">
        <v>173</v>
      </c>
      <c r="G60" s="8" t="s">
        <v>52</v>
      </c>
      <c r="H60" s="10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12"/>
      <c r="Z60" s="12"/>
      <c r="AA60" s="12"/>
      <c r="AB60" s="12"/>
      <c r="AC60" s="12"/>
      <c r="AD60" s="12"/>
      <c r="AE60" s="12"/>
      <c r="AF60" s="12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>
        <f>SUM(BC60:BE60)</f>
      </c>
      <c r="BC60" s="14">
        <f>COUNTA(I60,L60,O60,R60,U60,X60,AA60,AD60,AG60,AJ60,AM60,AP60,AS60,AV60,AY60,J60,M60,P60,S60,V60,Y60,AB60,AE60,AH60,AK60,AN60,AQ60,AT60,AW60,AZ60)</f>
      </c>
      <c r="BD60" s="14">
        <v>0</v>
      </c>
      <c r="BE60" s="14">
        <f>COUNTA(K60,N60,Q60,T60,W60,Z60,AC60,AF60,AI60,AL60,AO60,AR60,AU60,AX60,BA60)</f>
      </c>
      <c r="BF60" s="8" t="s">
        <v>40</v>
      </c>
    </row>
    <row r="61" spans="2:58" x14ac:dyDescent="0.25">
      <c r="B61" s="8" t="s">
        <v>33</v>
      </c>
      <c r="C61" s="8" t="s">
        <v>166</v>
      </c>
      <c r="D61" s="9" t="s">
        <v>110</v>
      </c>
      <c r="E61" s="9" t="s">
        <v>174</v>
      </c>
      <c r="F61" s="8" t="s">
        <v>175</v>
      </c>
      <c r="G61" s="8" t="s">
        <v>38</v>
      </c>
      <c r="H61" s="10" t="s">
        <v>171</v>
      </c>
      <c r="I61" s="11" t="s">
        <v>38</v>
      </c>
      <c r="J61" s="11"/>
      <c r="K61" s="11"/>
      <c r="L61" s="11" t="s">
        <v>38</v>
      </c>
      <c r="M61" s="11"/>
      <c r="N61" s="11"/>
      <c r="O61" s="11"/>
      <c r="P61" s="11" t="s">
        <v>38</v>
      </c>
      <c r="Q61" s="11"/>
      <c r="R61" s="11" t="s">
        <v>38</v>
      </c>
      <c r="S61" s="11"/>
      <c r="T61" s="11"/>
      <c r="U61" s="11" t="s">
        <v>38</v>
      </c>
      <c r="V61" s="11"/>
      <c r="W61" s="11"/>
      <c r="X61" s="12"/>
      <c r="Y61" s="12" t="s">
        <v>38</v>
      </c>
      <c r="Z61" s="12"/>
      <c r="AA61" s="12" t="s">
        <v>38</v>
      </c>
      <c r="AB61" s="12"/>
      <c r="AC61" s="12"/>
      <c r="AD61" s="12" t="s">
        <v>38</v>
      </c>
      <c r="AE61" s="12"/>
      <c r="AF61" s="12"/>
      <c r="AG61" s="13" t="s">
        <v>38</v>
      </c>
      <c r="AH61" s="13"/>
      <c r="AI61" s="13"/>
      <c r="AJ61" s="13" t="s">
        <v>38</v>
      </c>
      <c r="AK61" s="13"/>
      <c r="AL61" s="13"/>
      <c r="AM61" s="13" t="s">
        <v>38</v>
      </c>
      <c r="AN61" s="13"/>
      <c r="AO61" s="13"/>
      <c r="AP61" s="13" t="s">
        <v>38</v>
      </c>
      <c r="AQ61" s="13"/>
      <c r="AR61" s="13"/>
      <c r="AS61" s="13" t="s">
        <v>38</v>
      </c>
      <c r="AT61" s="13"/>
      <c r="AU61" s="13"/>
      <c r="AV61" s="13" t="s">
        <v>38</v>
      </c>
      <c r="AW61" s="13"/>
      <c r="AX61" s="13"/>
      <c r="AY61" s="13" t="s">
        <v>38</v>
      </c>
      <c r="AZ61" s="13"/>
      <c r="BA61" s="13"/>
      <c r="BB61" s="14">
        <f>SUM(BC61:BE61)</f>
      </c>
      <c r="BC61" s="14">
        <f>COUNTA(I61,L61,O61,R61,U61,X61,AA61,AD61,AG61,AJ61,AM61,AP61,AS61,AV61,AY61,J61,M61,P61,S61,V61,Y61,AB61,AE61,AH61,AK61,AN61,AQ61,AT61,AW61,AZ61)</f>
      </c>
      <c r="BD61" s="14">
        <v>0</v>
      </c>
      <c r="BE61" s="14">
        <f>COUNTA(K61,N61,Q61,T61,W61,Z61,AC61,AF61,AI61,AL61,AO61,AR61,AU61,AX61,BA61)</f>
      </c>
      <c r="BF61" s="8" t="s">
        <v>40</v>
      </c>
    </row>
    <row r="62" spans="2:58" x14ac:dyDescent="0.25">
      <c r="B62" s="8" t="s">
        <v>33</v>
      </c>
      <c r="C62" s="8" t="s">
        <v>166</v>
      </c>
      <c r="D62" s="9" t="s">
        <v>88</v>
      </c>
      <c r="E62" s="9" t="s">
        <v>176</v>
      </c>
      <c r="F62" s="8" t="s">
        <v>177</v>
      </c>
      <c r="G62" s="8" t="s">
        <v>38</v>
      </c>
      <c r="H62" s="10" t="s">
        <v>171</v>
      </c>
      <c r="I62" s="11" t="s">
        <v>38</v>
      </c>
      <c r="J62" s="11"/>
      <c r="K62" s="11"/>
      <c r="L62" s="11" t="s">
        <v>38</v>
      </c>
      <c r="M62" s="11"/>
      <c r="N62" s="11"/>
      <c r="O62" s="11" t="s">
        <v>38</v>
      </c>
      <c r="P62" s="11"/>
      <c r="Q62" s="11"/>
      <c r="R62" s="11" t="s">
        <v>38</v>
      </c>
      <c r="S62" s="11"/>
      <c r="T62" s="11"/>
      <c r="U62" s="11" t="s">
        <v>38</v>
      </c>
      <c r="V62" s="11"/>
      <c r="W62" s="11"/>
      <c r="X62" s="12" t="s">
        <v>38</v>
      </c>
      <c r="Y62" s="12"/>
      <c r="Z62" s="12"/>
      <c r="AA62" s="12" t="s">
        <v>38</v>
      </c>
      <c r="AB62" s="12"/>
      <c r="AC62" s="12"/>
      <c r="AD62" s="12" t="s">
        <v>38</v>
      </c>
      <c r="AE62" s="12"/>
      <c r="AF62" s="12"/>
      <c r="AG62" s="13" t="s">
        <v>38</v>
      </c>
      <c r="AH62" s="13"/>
      <c r="AI62" s="13"/>
      <c r="AJ62" s="13" t="s">
        <v>38</v>
      </c>
      <c r="AK62" s="13"/>
      <c r="AL62" s="13"/>
      <c r="AM62" s="13" t="s">
        <v>38</v>
      </c>
      <c r="AN62" s="13"/>
      <c r="AO62" s="13"/>
      <c r="AP62" s="13" t="s">
        <v>38</v>
      </c>
      <c r="AQ62" s="13"/>
      <c r="AR62" s="13"/>
      <c r="AS62" s="13" t="s">
        <v>38</v>
      </c>
      <c r="AT62" s="13"/>
      <c r="AU62" s="13"/>
      <c r="AV62" s="13" t="s">
        <v>38</v>
      </c>
      <c r="AW62" s="13"/>
      <c r="AX62" s="13"/>
      <c r="AY62" s="13" t="s">
        <v>38</v>
      </c>
      <c r="AZ62" s="13"/>
      <c r="BA62" s="13"/>
      <c r="BB62" s="14">
        <f>SUM(BC62:BE62)</f>
      </c>
      <c r="BC62" s="14">
        <f>COUNTA(I62,L62,O62,R62,U62,X62,AA62,AD62,AG62,AJ62,AM62,AP62,AS62,AV62,AY62,J62,M62,P62,S62,V62,Y62,AB62,AE62,AH62,AK62,AN62,AQ62,AT62,AW62,AZ62)</f>
      </c>
      <c r="BD62" s="14">
        <v>0</v>
      </c>
      <c r="BE62" s="14">
        <f>COUNTA(K62,N62,Q62,T62,W62,Z62,AC62,AF62,AI62,AL62,AO62,AR62,AU62,AX62,BA62)</f>
      </c>
      <c r="BF62" s="8" t="s">
        <v>40</v>
      </c>
    </row>
    <row r="63" spans="2:58" x14ac:dyDescent="0.25">
      <c r="B63" s="8" t="s">
        <v>33</v>
      </c>
      <c r="C63" s="8" t="s">
        <v>166</v>
      </c>
      <c r="D63" s="9" t="s">
        <v>110</v>
      </c>
      <c r="E63" s="9" t="s">
        <v>178</v>
      </c>
      <c r="F63" s="8" t="s">
        <v>179</v>
      </c>
      <c r="G63" s="8" t="s">
        <v>38</v>
      </c>
      <c r="H63" s="10" t="s">
        <v>171</v>
      </c>
      <c r="I63" s="11" t="s">
        <v>38</v>
      </c>
      <c r="J63" s="11"/>
      <c r="K63" s="11"/>
      <c r="L63" s="11" t="s">
        <v>38</v>
      </c>
      <c r="M63" s="11"/>
      <c r="N63" s="11"/>
      <c r="O63" s="11" t="s">
        <v>38</v>
      </c>
      <c r="P63" s="11"/>
      <c r="Q63" s="11"/>
      <c r="R63" s="11"/>
      <c r="S63" s="11" t="s">
        <v>38</v>
      </c>
      <c r="T63" s="11"/>
      <c r="U63" s="11" t="s">
        <v>38</v>
      </c>
      <c r="V63" s="11"/>
      <c r="W63" s="11"/>
      <c r="X63" s="12" t="s">
        <v>38</v>
      </c>
      <c r="Y63" s="12"/>
      <c r="Z63" s="12"/>
      <c r="AA63" s="12" t="s">
        <v>38</v>
      </c>
      <c r="AB63" s="12"/>
      <c r="AC63" s="12"/>
      <c r="AD63" s="12" t="s">
        <v>38</v>
      </c>
      <c r="AE63" s="12"/>
      <c r="AF63" s="12"/>
      <c r="AG63" s="13" t="s">
        <v>38</v>
      </c>
      <c r="AH63" s="13"/>
      <c r="AI63" s="13"/>
      <c r="AJ63" s="13" t="s">
        <v>38</v>
      </c>
      <c r="AK63" s="13"/>
      <c r="AL63" s="13"/>
      <c r="AM63" s="13" t="s">
        <v>38</v>
      </c>
      <c r="AN63" s="13"/>
      <c r="AO63" s="13"/>
      <c r="AP63" s="13" t="s">
        <v>38</v>
      </c>
      <c r="AQ63" s="13"/>
      <c r="AR63" s="13"/>
      <c r="AS63" s="13" t="s">
        <v>38</v>
      </c>
      <c r="AT63" s="13"/>
      <c r="AU63" s="13"/>
      <c r="AV63" s="13" t="s">
        <v>38</v>
      </c>
      <c r="AW63" s="13"/>
      <c r="AX63" s="13"/>
      <c r="AY63" s="13" t="s">
        <v>38</v>
      </c>
      <c r="AZ63" s="13"/>
      <c r="BA63" s="13"/>
      <c r="BB63" s="14">
        <f>SUM(BC63:BE63)</f>
      </c>
      <c r="BC63" s="14">
        <f>COUNTA(I63,L63,O63,R63,U63,X63,AA63,AD63,AG63,AJ63,AM63,AP63,AS63,AV63,AY63,J63,M63,P63,S63,V63,Y63,AB63,AE63,AH63,AK63,AN63,AQ63,AT63,AW63,AZ63)</f>
      </c>
      <c r="BD63" s="14">
        <v>0</v>
      </c>
      <c r="BE63" s="14">
        <f>COUNTA(K63,N63,Q63,T63,W63,Z63,AC63,AF63,AI63,AL63,AO63,AR63,AU63,AX63,BA63)</f>
      </c>
      <c r="BF63" s="8" t="s">
        <v>40</v>
      </c>
    </row>
    <row r="64" spans="2:58" x14ac:dyDescent="0.25">
      <c r="B64" s="8" t="s">
        <v>33</v>
      </c>
      <c r="C64" s="8" t="s">
        <v>166</v>
      </c>
      <c r="D64" s="9" t="s">
        <v>40</v>
      </c>
      <c r="E64" s="9" t="s">
        <v>180</v>
      </c>
      <c r="F64" s="8" t="s">
        <v>181</v>
      </c>
      <c r="G64" s="8" t="s">
        <v>52</v>
      </c>
      <c r="H64" s="10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12"/>
      <c r="Z64" s="12"/>
      <c r="AA64" s="12"/>
      <c r="AB64" s="12"/>
      <c r="AC64" s="12"/>
      <c r="AD64" s="12"/>
      <c r="AE64" s="12"/>
      <c r="AF64" s="12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4">
        <f>SUM(BC64:BE64)</f>
      </c>
      <c r="BC64" s="14">
        <f>COUNTA(I64,L64,O64,R64,U64,X64,AA64,AD64,AG64,AJ64,AM64,AP64,AS64,AV64,AY64,J64,M64,P64,S64,V64,Y64,AB64,AE64,AH64,AK64,AN64,AQ64,AT64,AW64,AZ64)</f>
      </c>
      <c r="BD64" s="14">
        <v>0</v>
      </c>
      <c r="BE64" s="14">
        <f>COUNTA(K64,N64,Q64,T64,W64,Z64,AC64,AF64,AI64,AL64,AO64,AR64,AU64,AX64,BA64)</f>
      </c>
      <c r="BF64" s="8" t="s">
        <v>40</v>
      </c>
    </row>
    <row r="65" spans="2:58" x14ac:dyDescent="0.25">
      <c r="B65" s="8" t="s">
        <v>33</v>
      </c>
      <c r="C65" s="8" t="s">
        <v>182</v>
      </c>
      <c r="D65" s="9" t="s">
        <v>67</v>
      </c>
      <c r="E65" s="9" t="s">
        <v>183</v>
      </c>
      <c r="F65" s="8" t="s">
        <v>184</v>
      </c>
      <c r="G65" s="8" t="s">
        <v>38</v>
      </c>
      <c r="H65" s="10" t="s">
        <v>185</v>
      </c>
      <c r="I65" s="11" t="s">
        <v>38</v>
      </c>
      <c r="J65" s="11"/>
      <c r="K65" s="11"/>
      <c r="L65" s="11" t="s">
        <v>38</v>
      </c>
      <c r="M65" s="11"/>
      <c r="N65" s="11"/>
      <c r="O65" s="11" t="s">
        <v>38</v>
      </c>
      <c r="P65" s="11"/>
      <c r="Q65" s="11"/>
      <c r="R65" s="11" t="s">
        <v>38</v>
      </c>
      <c r="S65" s="11"/>
      <c r="T65" s="11"/>
      <c r="U65" s="11" t="s">
        <v>38</v>
      </c>
      <c r="V65" s="11"/>
      <c r="W65" s="11"/>
      <c r="X65" s="12" t="s">
        <v>38</v>
      </c>
      <c r="Y65" s="12"/>
      <c r="Z65" s="12"/>
      <c r="AA65" s="12" t="s">
        <v>38</v>
      </c>
      <c r="AB65" s="12"/>
      <c r="AC65" s="12"/>
      <c r="AD65" s="12"/>
      <c r="AE65" s="12" t="s">
        <v>38</v>
      </c>
      <c r="AF65" s="12"/>
      <c r="AG65" s="13"/>
      <c r="AH65" s="13" t="s">
        <v>38</v>
      </c>
      <c r="AI65" s="13"/>
      <c r="AJ65" s="13" t="s">
        <v>38</v>
      </c>
      <c r="AK65" s="13"/>
      <c r="AL65" s="13"/>
      <c r="AM65" s="13" t="s">
        <v>38</v>
      </c>
      <c r="AN65" s="13"/>
      <c r="AO65" s="13"/>
      <c r="AP65" s="13" t="s">
        <v>38</v>
      </c>
      <c r="AQ65" s="13"/>
      <c r="AR65" s="13"/>
      <c r="AS65" s="13" t="s">
        <v>38</v>
      </c>
      <c r="AT65" s="13"/>
      <c r="AU65" s="13"/>
      <c r="AV65" s="13" t="s">
        <v>38</v>
      </c>
      <c r="AW65" s="13"/>
      <c r="AX65" s="13"/>
      <c r="AY65" s="13" t="s">
        <v>38</v>
      </c>
      <c r="AZ65" s="13"/>
      <c r="BA65" s="13"/>
      <c r="BB65" s="14">
        <f>SUM(BC65:BE65)</f>
      </c>
      <c r="BC65" s="14">
        <f>COUNTA(I65,L65,O65,R65,U65,X65,AA65,AD65,AG65,AJ65,AM65,AP65,AS65,AV65,AY65,J65,M65,P65,S65,V65,Y65,AB65,AE65,AH65,AK65,AN65,AQ65,AT65,AW65,AZ65)</f>
      </c>
      <c r="BD65" s="14">
        <v>0</v>
      </c>
      <c r="BE65" s="14">
        <f>COUNTA(K65,N65,Q65,T65,W65,Z65,AC65,AF65,AI65,AL65,AO65,AR65,AU65,AX65,BA65)</f>
      </c>
      <c r="BF65" s="8" t="s">
        <v>40</v>
      </c>
    </row>
    <row r="66" spans="2:58" x14ac:dyDescent="0.25">
      <c r="B66" s="8" t="s">
        <v>33</v>
      </c>
      <c r="C66" s="8" t="s">
        <v>182</v>
      </c>
      <c r="D66" s="9" t="s">
        <v>67</v>
      </c>
      <c r="E66" s="9" t="s">
        <v>186</v>
      </c>
      <c r="F66" s="8" t="s">
        <v>187</v>
      </c>
      <c r="G66" s="8" t="s">
        <v>38</v>
      </c>
      <c r="H66" s="10" t="s">
        <v>185</v>
      </c>
      <c r="I66" s="11" t="s">
        <v>38</v>
      </c>
      <c r="J66" s="11"/>
      <c r="K66" s="11"/>
      <c r="L66" s="11" t="s">
        <v>38</v>
      </c>
      <c r="M66" s="11"/>
      <c r="N66" s="11"/>
      <c r="O66" s="11" t="s">
        <v>38</v>
      </c>
      <c r="P66" s="11"/>
      <c r="Q66" s="11"/>
      <c r="R66" s="11" t="s">
        <v>38</v>
      </c>
      <c r="S66" s="11"/>
      <c r="T66" s="11"/>
      <c r="U66" s="11" t="s">
        <v>38</v>
      </c>
      <c r="V66" s="11"/>
      <c r="W66" s="11"/>
      <c r="X66" s="12" t="s">
        <v>38</v>
      </c>
      <c r="Y66" s="12"/>
      <c r="Z66" s="12"/>
      <c r="AA66" s="12" t="s">
        <v>38</v>
      </c>
      <c r="AB66" s="12"/>
      <c r="AC66" s="12"/>
      <c r="AD66" s="12" t="s">
        <v>38</v>
      </c>
      <c r="AE66" s="12"/>
      <c r="AF66" s="12"/>
      <c r="AG66" s="13"/>
      <c r="AH66" s="13" t="s">
        <v>38</v>
      </c>
      <c r="AI66" s="13"/>
      <c r="AJ66" s="13" t="s">
        <v>38</v>
      </c>
      <c r="AK66" s="13"/>
      <c r="AL66" s="13"/>
      <c r="AM66" s="13" t="s">
        <v>38</v>
      </c>
      <c r="AN66" s="13"/>
      <c r="AO66" s="13"/>
      <c r="AP66" s="13" t="s">
        <v>38</v>
      </c>
      <c r="AQ66" s="13"/>
      <c r="AR66" s="13"/>
      <c r="AS66" s="13" t="s">
        <v>38</v>
      </c>
      <c r="AT66" s="13"/>
      <c r="AU66" s="13"/>
      <c r="AV66" s="13" t="s">
        <v>38</v>
      </c>
      <c r="AW66" s="13"/>
      <c r="AX66" s="13"/>
      <c r="AY66" s="13" t="s">
        <v>38</v>
      </c>
      <c r="AZ66" s="13"/>
      <c r="BA66" s="13"/>
      <c r="BB66" s="14">
        <f>SUM(BC66:BE66)</f>
      </c>
      <c r="BC66" s="14">
        <f>COUNTA(I66,L66,O66,R66,U66,X66,AA66,AD66,AG66,AJ66,AM66,AP66,AS66,AV66,AY66,J66,M66,P66,S66,V66,Y66,AB66,AE66,AH66,AK66,AN66,AQ66,AT66,AW66,AZ66)</f>
      </c>
      <c r="BD66" s="14">
        <v>0</v>
      </c>
      <c r="BE66" s="14">
        <f>COUNTA(K66,N66,Q66,T66,W66,Z66,AC66,AF66,AI66,AL66,AO66,AR66,AU66,AX66,BA66)</f>
      </c>
      <c r="BF66" s="8" t="s">
        <v>40</v>
      </c>
    </row>
    <row r="67" spans="2:58" x14ac:dyDescent="0.25">
      <c r="B67" s="8" t="s">
        <v>33</v>
      </c>
      <c r="C67" s="8" t="s">
        <v>182</v>
      </c>
      <c r="D67" s="9" t="s">
        <v>67</v>
      </c>
      <c r="E67" s="9" t="s">
        <v>188</v>
      </c>
      <c r="F67" s="8" t="s">
        <v>189</v>
      </c>
      <c r="G67" s="8" t="s">
        <v>52</v>
      </c>
      <c r="H67" s="10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2"/>
      <c r="Z67" s="12"/>
      <c r="AA67" s="12"/>
      <c r="AB67" s="12"/>
      <c r="AC67" s="12"/>
      <c r="AD67" s="12"/>
      <c r="AE67" s="12"/>
      <c r="AF67" s="12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4">
        <f>SUM(BC67:BE67)</f>
      </c>
      <c r="BC67" s="14">
        <f>COUNTA(I67,L67,O67,R67,U67,X67,AA67,AD67,AG67,AJ67,AM67,AP67,AS67,AV67,AY67,J67,M67,P67,S67,V67,Y67,AB67,AE67,AH67,AK67,AN67,AQ67,AT67,AW67,AZ67)</f>
      </c>
      <c r="BD67" s="14">
        <v>0</v>
      </c>
      <c r="BE67" s="14">
        <f>COUNTA(K67,N67,Q67,T67,W67,Z67,AC67,AF67,AI67,AL67,AO67,AR67,AU67,AX67,BA67)</f>
      </c>
      <c r="BF67" s="8" t="s">
        <v>40</v>
      </c>
    </row>
    <row r="68" spans="2:58" x14ac:dyDescent="0.25">
      <c r="B68" s="8" t="s">
        <v>33</v>
      </c>
      <c r="C68" s="8" t="s">
        <v>182</v>
      </c>
      <c r="D68" s="9" t="s">
        <v>110</v>
      </c>
      <c r="E68" s="9" t="s">
        <v>190</v>
      </c>
      <c r="F68" s="8" t="s">
        <v>191</v>
      </c>
      <c r="G68" s="8" t="s">
        <v>52</v>
      </c>
      <c r="H68" s="10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12"/>
      <c r="Z68" s="12"/>
      <c r="AA68" s="12"/>
      <c r="AB68" s="12"/>
      <c r="AC68" s="12"/>
      <c r="AD68" s="12"/>
      <c r="AE68" s="12"/>
      <c r="AF68" s="12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4">
        <f>SUM(BC68:BE68)</f>
      </c>
      <c r="BC68" s="14">
        <f>COUNTA(I68,L68,O68,R68,U68,X68,AA68,AD68,AG68,AJ68,AM68,AP68,AS68,AV68,AY68,J68,M68,P68,S68,V68,Y68,AB68,AE68,AH68,AK68,AN68,AQ68,AT68,AW68,AZ68)</f>
      </c>
      <c r="BD68" s="14">
        <v>0</v>
      </c>
      <c r="BE68" s="14">
        <f>COUNTA(K68,N68,Q68,T68,W68,Z68,AC68,AF68,AI68,AL68,AO68,AR68,AU68,AX68,BA68)</f>
      </c>
      <c r="BF68" s="8" t="s">
        <v>40</v>
      </c>
    </row>
    <row r="69" spans="2:58" x14ac:dyDescent="0.25">
      <c r="B69" s="8" t="s">
        <v>33</v>
      </c>
      <c r="C69" s="8" t="s">
        <v>182</v>
      </c>
      <c r="D69" s="9" t="s">
        <v>88</v>
      </c>
      <c r="E69" s="9" t="s">
        <v>192</v>
      </c>
      <c r="F69" s="8" t="s">
        <v>193</v>
      </c>
      <c r="G69" s="8" t="s">
        <v>52</v>
      </c>
      <c r="H69" s="10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12"/>
      <c r="Z69" s="12"/>
      <c r="AA69" s="12"/>
      <c r="AB69" s="12"/>
      <c r="AC69" s="12"/>
      <c r="AD69" s="12"/>
      <c r="AE69" s="12"/>
      <c r="AF69" s="12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4">
        <f>SUM(BC69:BE69)</f>
      </c>
      <c r="BC69" s="14">
        <f>COUNTA(I69,L69,O69,R69,U69,X69,AA69,AD69,AG69,AJ69,AM69,AP69,AS69,AV69,AY69,J69,M69,P69,S69,V69,Y69,AB69,AE69,AH69,AK69,AN69,AQ69,AT69,AW69,AZ69)</f>
      </c>
      <c r="BD69" s="14">
        <v>0</v>
      </c>
      <c r="BE69" s="14">
        <f>COUNTA(K69,N69,Q69,T69,W69,Z69,AC69,AF69,AI69,AL69,AO69,AR69,AU69,AX69,BA69)</f>
      </c>
      <c r="BF69" s="8" t="s">
        <v>40</v>
      </c>
    </row>
    <row r="70" spans="2:58" x14ac:dyDescent="0.25">
      <c r="B70" s="8" t="s">
        <v>33</v>
      </c>
      <c r="C70" s="8" t="s">
        <v>182</v>
      </c>
      <c r="D70" s="9" t="s">
        <v>88</v>
      </c>
      <c r="E70" s="9" t="s">
        <v>194</v>
      </c>
      <c r="F70" s="8" t="s">
        <v>195</v>
      </c>
      <c r="G70" s="8" t="s">
        <v>38</v>
      </c>
      <c r="H70" s="10" t="s">
        <v>196</v>
      </c>
      <c r="I70" s="11" t="s">
        <v>38</v>
      </c>
      <c r="J70" s="11"/>
      <c r="K70" s="11"/>
      <c r="L70" s="11" t="s">
        <v>38</v>
      </c>
      <c r="M70" s="11"/>
      <c r="N70" s="11"/>
      <c r="O70" s="11" t="s">
        <v>38</v>
      </c>
      <c r="P70" s="11"/>
      <c r="Q70" s="11"/>
      <c r="R70" s="11" t="s">
        <v>38</v>
      </c>
      <c r="S70" s="11"/>
      <c r="T70" s="11"/>
      <c r="U70" s="11" t="s">
        <v>38</v>
      </c>
      <c r="V70" s="11"/>
      <c r="W70" s="11"/>
      <c r="X70" s="12" t="s">
        <v>38</v>
      </c>
      <c r="Y70" s="12"/>
      <c r="Z70" s="12"/>
      <c r="AA70" s="12" t="s">
        <v>38</v>
      </c>
      <c r="AB70" s="12"/>
      <c r="AC70" s="12"/>
      <c r="AD70" s="12" t="s">
        <v>38</v>
      </c>
      <c r="AE70" s="12"/>
      <c r="AF70" s="12"/>
      <c r="AG70" s="13" t="s">
        <v>38</v>
      </c>
      <c r="AH70" s="13"/>
      <c r="AI70" s="13"/>
      <c r="AJ70" s="13" t="s">
        <v>38</v>
      </c>
      <c r="AK70" s="13"/>
      <c r="AL70" s="13"/>
      <c r="AM70" s="13" t="s">
        <v>38</v>
      </c>
      <c r="AN70" s="13"/>
      <c r="AO70" s="13"/>
      <c r="AP70" s="13" t="s">
        <v>38</v>
      </c>
      <c r="AQ70" s="13"/>
      <c r="AR70" s="13"/>
      <c r="AS70" s="13" t="s">
        <v>38</v>
      </c>
      <c r="AT70" s="13"/>
      <c r="AU70" s="13"/>
      <c r="AV70" s="13" t="s">
        <v>38</v>
      </c>
      <c r="AW70" s="13"/>
      <c r="AX70" s="13"/>
      <c r="AY70" s="13" t="s">
        <v>38</v>
      </c>
      <c r="AZ70" s="13"/>
      <c r="BA70" s="13"/>
      <c r="BB70" s="14">
        <f>SUM(BC70:BE70)</f>
      </c>
      <c r="BC70" s="14">
        <f>COUNTA(I70,L70,O70,R70,U70,X70,AA70,AD70,AG70,AJ70,AM70,AP70,AS70,AV70,AY70,J70,M70,P70,S70,V70,Y70,AB70,AE70,AH70,AK70,AN70,AQ70,AT70,AW70,AZ70)</f>
      </c>
      <c r="BD70" s="14">
        <v>0</v>
      </c>
      <c r="BE70" s="14">
        <f>COUNTA(K70,N70,Q70,T70,W70,Z70,AC70,AF70,AI70,AL70,AO70,AR70,AU70,AX70,BA70)</f>
      </c>
      <c r="BF70" s="8" t="s">
        <v>40</v>
      </c>
    </row>
    <row r="71" spans="2:58" x14ac:dyDescent="0.25">
      <c r="B71" s="8" t="s">
        <v>33</v>
      </c>
      <c r="C71" s="8" t="s">
        <v>182</v>
      </c>
      <c r="D71" s="9" t="s">
        <v>88</v>
      </c>
      <c r="E71" s="9" t="s">
        <v>197</v>
      </c>
      <c r="F71" s="8" t="s">
        <v>198</v>
      </c>
      <c r="G71" s="8" t="s">
        <v>52</v>
      </c>
      <c r="H71" s="10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12"/>
      <c r="Z71" s="12"/>
      <c r="AA71" s="12"/>
      <c r="AB71" s="12"/>
      <c r="AC71" s="12"/>
      <c r="AD71" s="12"/>
      <c r="AE71" s="12"/>
      <c r="AF71" s="12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4">
        <f>SUM(BC71:BE71)</f>
      </c>
      <c r="BC71" s="14">
        <f>COUNTA(I71,L71,O71,R71,U71,X71,AA71,AD71,AG71,AJ71,AM71,AP71,AS71,AV71,AY71,J71,M71,P71,S71,V71,Y71,AB71,AE71,AH71,AK71,AN71,AQ71,AT71,AW71,AZ71)</f>
      </c>
      <c r="BD71" s="14">
        <v>0</v>
      </c>
      <c r="BE71" s="14">
        <f>COUNTA(K71,N71,Q71,T71,W71,Z71,AC71,AF71,AI71,AL71,AO71,AR71,AU71,AX71,BA71)</f>
      </c>
      <c r="BF71" s="8" t="s">
        <v>40</v>
      </c>
    </row>
    <row r="72" spans="2:58" x14ac:dyDescent="0.25">
      <c r="B72" s="8" t="s">
        <v>33</v>
      </c>
      <c r="C72" s="8" t="s">
        <v>182</v>
      </c>
      <c r="D72" s="9" t="s">
        <v>110</v>
      </c>
      <c r="E72" s="9" t="s">
        <v>199</v>
      </c>
      <c r="F72" s="8" t="s">
        <v>200</v>
      </c>
      <c r="G72" s="8" t="s">
        <v>52</v>
      </c>
      <c r="H72" s="10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12"/>
      <c r="Z72" s="12"/>
      <c r="AA72" s="12"/>
      <c r="AB72" s="12"/>
      <c r="AC72" s="12"/>
      <c r="AD72" s="12"/>
      <c r="AE72" s="12"/>
      <c r="AF72" s="12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4">
        <f>SUM(BC72:BE72)</f>
      </c>
      <c r="BC72" s="14">
        <f>COUNTA(I72,L72,O72,R72,U72,X72,AA72,AD72,AG72,AJ72,AM72,AP72,AS72,AV72,AY72,J72,M72,P72,S72,V72,Y72,AB72,AE72,AH72,AK72,AN72,AQ72,AT72,AW72,AZ72)</f>
      </c>
      <c r="BD72" s="14">
        <v>0</v>
      </c>
      <c r="BE72" s="14">
        <f>COUNTA(K72,N72,Q72,T72,W72,Z72,AC72,AF72,AI72,AL72,AO72,AR72,AU72,AX72,BA72)</f>
      </c>
      <c r="BF72" s="8" t="s">
        <v>40</v>
      </c>
    </row>
    <row r="73" spans="2:58" x14ac:dyDescent="0.25">
      <c r="B73" s="8" t="s">
        <v>33</v>
      </c>
      <c r="C73" s="8" t="s">
        <v>182</v>
      </c>
      <c r="D73" s="9" t="s">
        <v>67</v>
      </c>
      <c r="E73" s="9" t="s">
        <v>201</v>
      </c>
      <c r="F73" s="8" t="s">
        <v>202</v>
      </c>
      <c r="G73" s="8" t="s">
        <v>52</v>
      </c>
      <c r="H73" s="10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12"/>
      <c r="Z73" s="12"/>
      <c r="AA73" s="12"/>
      <c r="AB73" s="12"/>
      <c r="AC73" s="12"/>
      <c r="AD73" s="12"/>
      <c r="AE73" s="12"/>
      <c r="AF73" s="12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4">
        <f>SUM(BC73:BE73)</f>
      </c>
      <c r="BC73" s="14">
        <f>COUNTA(I73,L73,O73,R73,U73,X73,AA73,AD73,AG73,AJ73,AM73,AP73,AS73,AV73,AY73,J73,M73,P73,S73,V73,Y73,AB73,AE73,AH73,AK73,AN73,AQ73,AT73,AW73,AZ73)</f>
      </c>
      <c r="BD73" s="14">
        <v>0</v>
      </c>
      <c r="BE73" s="14">
        <f>COUNTA(K73,N73,Q73,T73,W73,Z73,AC73,AF73,AI73,AL73,AO73,AR73,AU73,AX73,BA73)</f>
      </c>
      <c r="BF73" s="8" t="s">
        <v>40</v>
      </c>
    </row>
    <row r="74" spans="2:58" x14ac:dyDescent="0.25">
      <c r="B74" s="8" t="s">
        <v>33</v>
      </c>
      <c r="C74" s="8" t="s">
        <v>182</v>
      </c>
      <c r="D74" s="9" t="s">
        <v>40</v>
      </c>
      <c r="E74" s="9" t="s">
        <v>203</v>
      </c>
      <c r="F74" s="8" t="s">
        <v>204</v>
      </c>
      <c r="G74" s="8" t="s">
        <v>52</v>
      </c>
      <c r="H74" s="10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12"/>
      <c r="Z74" s="12"/>
      <c r="AA74" s="12"/>
      <c r="AB74" s="12"/>
      <c r="AC74" s="12"/>
      <c r="AD74" s="12"/>
      <c r="AE74" s="12"/>
      <c r="AF74" s="12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4">
        <f>SUM(BC74:BE74)</f>
      </c>
      <c r="BC74" s="14">
        <f>COUNTA(I74,L74,O74,R74,U74,X74,AA74,AD74,AG74,AJ74,AM74,AP74,AS74,AV74,AY74,J74,M74,P74,S74,V74,Y74,AB74,AE74,AH74,AK74,AN74,AQ74,AT74,AW74,AZ74)</f>
      </c>
      <c r="BD74" s="14">
        <v>0</v>
      </c>
      <c r="BE74" s="14">
        <f>COUNTA(K74,N74,Q74,T74,W74,Z74,AC74,AF74,AI74,AL74,AO74,AR74,AU74,AX74,BA74)</f>
      </c>
      <c r="BF74" s="8" t="s">
        <v>40</v>
      </c>
    </row>
    <row r="75" spans="2:58" x14ac:dyDescent="0.25">
      <c r="B75" s="8" t="s">
        <v>33</v>
      </c>
      <c r="C75" s="8" t="s">
        <v>182</v>
      </c>
      <c r="D75" s="9" t="s">
        <v>40</v>
      </c>
      <c r="E75" s="9" t="s">
        <v>205</v>
      </c>
      <c r="F75" s="8" t="s">
        <v>206</v>
      </c>
      <c r="G75" s="8" t="s">
        <v>52</v>
      </c>
      <c r="H75" s="10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12"/>
      <c r="Z75" s="12"/>
      <c r="AA75" s="12"/>
      <c r="AB75" s="12"/>
      <c r="AC75" s="12"/>
      <c r="AD75" s="12"/>
      <c r="AE75" s="12"/>
      <c r="AF75" s="12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4">
        <f>SUM(BC75:BE75)</f>
      </c>
      <c r="BC75" s="14">
        <f>COUNTA(I75,L75,O75,R75,U75,X75,AA75,AD75,AG75,AJ75,AM75,AP75,AS75,AV75,AY75,J75,M75,P75,S75,V75,Y75,AB75,AE75,AH75,AK75,AN75,AQ75,AT75,AW75,AZ75)</f>
      </c>
      <c r="BD75" s="14">
        <v>0</v>
      </c>
      <c r="BE75" s="14">
        <f>COUNTA(K75,N75,Q75,T75,W75,Z75,AC75,AF75,AI75,AL75,AO75,AR75,AU75,AX75,BA75)</f>
      </c>
      <c r="BF75" s="8" t="s">
        <v>40</v>
      </c>
    </row>
    <row r="76" spans="2:58" x14ac:dyDescent="0.25">
      <c r="B76" s="8" t="s">
        <v>33</v>
      </c>
      <c r="C76" s="8" t="s">
        <v>182</v>
      </c>
      <c r="D76" s="9" t="s">
        <v>67</v>
      </c>
      <c r="E76" s="9" t="s">
        <v>207</v>
      </c>
      <c r="F76" s="8" t="s">
        <v>208</v>
      </c>
      <c r="G76" s="8" t="s">
        <v>52</v>
      </c>
      <c r="H76" s="10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12"/>
      <c r="Z76" s="12"/>
      <c r="AA76" s="12"/>
      <c r="AB76" s="12"/>
      <c r="AC76" s="12"/>
      <c r="AD76" s="12"/>
      <c r="AE76" s="12"/>
      <c r="AF76" s="12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4">
        <f>SUM(BC76:BE76)</f>
      </c>
      <c r="BC76" s="14">
        <f>COUNTA(I76,L76,O76,R76,U76,X76,AA76,AD76,AG76,AJ76,AM76,AP76,AS76,AV76,AY76,J76,M76,P76,S76,V76,Y76,AB76,AE76,AH76,AK76,AN76,AQ76,AT76,AW76,AZ76)</f>
      </c>
      <c r="BD76" s="14">
        <v>0</v>
      </c>
      <c r="BE76" s="14">
        <f>COUNTA(K76,N76,Q76,T76,W76,Z76,AC76,AF76,AI76,AL76,AO76,AR76,AU76,AX76,BA76)</f>
      </c>
      <c r="BF76" s="8" t="s">
        <v>40</v>
      </c>
    </row>
    <row r="77" spans="2:58" x14ac:dyDescent="0.25">
      <c r="B77" s="8" t="s">
        <v>33</v>
      </c>
      <c r="C77" s="8" t="s">
        <v>209</v>
      </c>
      <c r="D77" s="9" t="s">
        <v>67</v>
      </c>
      <c r="E77" s="9" t="s">
        <v>210</v>
      </c>
      <c r="F77" s="8" t="s">
        <v>211</v>
      </c>
      <c r="G77" s="8" t="s">
        <v>38</v>
      </c>
      <c r="H77" s="10" t="s">
        <v>212</v>
      </c>
      <c r="I77" s="11" t="s">
        <v>38</v>
      </c>
      <c r="J77" s="11"/>
      <c r="K77" s="11"/>
      <c r="L77" s="11" t="s">
        <v>38</v>
      </c>
      <c r="M77" s="11"/>
      <c r="N77" s="11"/>
      <c r="O77" s="11" t="s">
        <v>38</v>
      </c>
      <c r="P77" s="11"/>
      <c r="Q77" s="11"/>
      <c r="R77" s="11" t="s">
        <v>38</v>
      </c>
      <c r="S77" s="11"/>
      <c r="T77" s="11"/>
      <c r="U77" s="11" t="s">
        <v>38</v>
      </c>
      <c r="V77" s="11"/>
      <c r="W77" s="11"/>
      <c r="X77" s="12"/>
      <c r="Y77" s="12" t="s">
        <v>38</v>
      </c>
      <c r="Z77" s="12"/>
      <c r="AA77" s="12" t="s">
        <v>38</v>
      </c>
      <c r="AB77" s="12"/>
      <c r="AC77" s="12"/>
      <c r="AD77" s="12" t="s">
        <v>38</v>
      </c>
      <c r="AE77" s="12"/>
      <c r="AF77" s="12"/>
      <c r="AG77" s="13" t="s">
        <v>38</v>
      </c>
      <c r="AH77" s="13"/>
      <c r="AI77" s="13"/>
      <c r="AJ77" s="13" t="s">
        <v>38</v>
      </c>
      <c r="AK77" s="13"/>
      <c r="AL77" s="13"/>
      <c r="AM77" s="13" t="s">
        <v>38</v>
      </c>
      <c r="AN77" s="13"/>
      <c r="AO77" s="13"/>
      <c r="AP77" s="13" t="s">
        <v>38</v>
      </c>
      <c r="AQ77" s="13"/>
      <c r="AR77" s="13"/>
      <c r="AS77" s="13"/>
      <c r="AT77" s="13" t="s">
        <v>38</v>
      </c>
      <c r="AU77" s="13"/>
      <c r="AV77" s="13" t="s">
        <v>38</v>
      </c>
      <c r="AW77" s="13"/>
      <c r="AX77" s="13"/>
      <c r="AY77" s="13" t="s">
        <v>38</v>
      </c>
      <c r="AZ77" s="13"/>
      <c r="BA77" s="13"/>
      <c r="BB77" s="14">
        <f>SUM(BC77:BE77)</f>
      </c>
      <c r="BC77" s="14">
        <f>COUNTA(I77,L77,O77,R77,U77,X77,AA77,AD77,AG77,AJ77,AM77,AP77,AS77,AV77,AY77,J77,M77,P77,S77,V77,Y77,AB77,AE77,AH77,AK77,AN77,AQ77,AT77,AW77,AZ77)</f>
      </c>
      <c r="BD77" s="14">
        <v>0</v>
      </c>
      <c r="BE77" s="14">
        <f>COUNTA(K77,N77,Q77,T77,W77,Z77,AC77,AF77,AI77,AL77,AO77,AR77,AU77,AX77,BA77)</f>
      </c>
      <c r="BF77" s="8" t="s">
        <v>40</v>
      </c>
    </row>
    <row r="78" spans="2:58" x14ac:dyDescent="0.25">
      <c r="B78" s="8" t="s">
        <v>33</v>
      </c>
      <c r="C78" s="8" t="s">
        <v>209</v>
      </c>
      <c r="D78" s="9" t="s">
        <v>67</v>
      </c>
      <c r="E78" s="9" t="s">
        <v>213</v>
      </c>
      <c r="F78" s="8" t="s">
        <v>214</v>
      </c>
      <c r="G78" s="8" t="s">
        <v>38</v>
      </c>
      <c r="H78" s="10" t="s">
        <v>212</v>
      </c>
      <c r="I78" s="11" t="s">
        <v>38</v>
      </c>
      <c r="J78" s="11"/>
      <c r="K78" s="11"/>
      <c r="L78" s="11" t="s">
        <v>38</v>
      </c>
      <c r="M78" s="11"/>
      <c r="N78" s="11"/>
      <c r="O78" s="11" t="s">
        <v>38</v>
      </c>
      <c r="P78" s="11"/>
      <c r="Q78" s="11"/>
      <c r="R78" s="11"/>
      <c r="S78" s="11" t="s">
        <v>38</v>
      </c>
      <c r="T78" s="11"/>
      <c r="U78" s="11" t="s">
        <v>38</v>
      </c>
      <c r="V78" s="11"/>
      <c r="W78" s="11"/>
      <c r="X78" s="12"/>
      <c r="Y78" s="12" t="s">
        <v>38</v>
      </c>
      <c r="Z78" s="12"/>
      <c r="AA78" s="12" t="s">
        <v>38</v>
      </c>
      <c r="AB78" s="12"/>
      <c r="AC78" s="12"/>
      <c r="AD78" s="12"/>
      <c r="AE78" s="12" t="s">
        <v>38</v>
      </c>
      <c r="AF78" s="12"/>
      <c r="AG78" s="13" t="s">
        <v>38</v>
      </c>
      <c r="AH78" s="13"/>
      <c r="AI78" s="13"/>
      <c r="AJ78" s="13" t="s">
        <v>38</v>
      </c>
      <c r="AK78" s="13"/>
      <c r="AL78" s="13"/>
      <c r="AM78" s="13" t="s">
        <v>38</v>
      </c>
      <c r="AN78" s="13"/>
      <c r="AO78" s="13"/>
      <c r="AP78" s="13" t="s">
        <v>38</v>
      </c>
      <c r="AQ78" s="13"/>
      <c r="AR78" s="13"/>
      <c r="AS78" s="13"/>
      <c r="AT78" s="13" t="s">
        <v>38</v>
      </c>
      <c r="AU78" s="13"/>
      <c r="AV78" s="13" t="s">
        <v>38</v>
      </c>
      <c r="AW78" s="13"/>
      <c r="AX78" s="13"/>
      <c r="AY78" s="13" t="s">
        <v>38</v>
      </c>
      <c r="AZ78" s="13"/>
      <c r="BA78" s="13"/>
      <c r="BB78" s="14">
        <f>SUM(BC78:BE78)</f>
      </c>
      <c r="BC78" s="14">
        <f>COUNTA(I78,L78,O78,R78,U78,X78,AA78,AD78,AG78,AJ78,AM78,AP78,AS78,AV78,AY78,J78,M78,P78,S78,V78,Y78,AB78,AE78,AH78,AK78,AN78,AQ78,AT78,AW78,AZ78)</f>
      </c>
      <c r="BD78" s="14">
        <v>0</v>
      </c>
      <c r="BE78" s="14">
        <f>COUNTA(K78,N78,Q78,T78,W78,Z78,AC78,AF78,AI78,AL78,AO78,AR78,AU78,AX78,BA78)</f>
      </c>
      <c r="BF78" s="8" t="s">
        <v>40</v>
      </c>
    </row>
    <row r="79" spans="2:58" x14ac:dyDescent="0.25">
      <c r="B79" s="8" t="s">
        <v>33</v>
      </c>
      <c r="C79" s="8" t="s">
        <v>209</v>
      </c>
      <c r="D79" s="9" t="s">
        <v>110</v>
      </c>
      <c r="E79" s="9" t="s">
        <v>215</v>
      </c>
      <c r="F79" s="8" t="s">
        <v>216</v>
      </c>
      <c r="G79" s="8" t="s">
        <v>52</v>
      </c>
      <c r="H79" s="10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2"/>
      <c r="Y79" s="12"/>
      <c r="Z79" s="12"/>
      <c r="AA79" s="12"/>
      <c r="AB79" s="12"/>
      <c r="AC79" s="12"/>
      <c r="AD79" s="12"/>
      <c r="AE79" s="12"/>
      <c r="AF79" s="12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4">
        <f>SUM(BC79:BE79)</f>
      </c>
      <c r="BC79" s="14">
        <f>COUNTA(I79,L79,O79,R79,U79,X79,AA79,AD79,AG79,AJ79,AM79,AP79,AS79,AV79,AY79,J79,M79,P79,S79,V79,Y79,AB79,AE79,AH79,AK79,AN79,AQ79,AT79,AW79,AZ79)</f>
      </c>
      <c r="BD79" s="14">
        <v>0</v>
      </c>
      <c r="BE79" s="14">
        <f>COUNTA(K79,N79,Q79,T79,W79,Z79,AC79,AF79,AI79,AL79,AO79,AR79,AU79,AX79,BA79)</f>
      </c>
      <c r="BF79" s="8" t="s">
        <v>40</v>
      </c>
    </row>
    <row r="80" spans="2:58" x14ac:dyDescent="0.25">
      <c r="B80" s="8" t="s">
        <v>33</v>
      </c>
      <c r="C80" s="8" t="s">
        <v>209</v>
      </c>
      <c r="D80" s="9" t="s">
        <v>110</v>
      </c>
      <c r="E80" s="9" t="s">
        <v>217</v>
      </c>
      <c r="F80" s="8" t="s">
        <v>218</v>
      </c>
      <c r="G80" s="8" t="s">
        <v>52</v>
      </c>
      <c r="H80" s="10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2"/>
      <c r="Y80" s="12"/>
      <c r="Z80" s="12"/>
      <c r="AA80" s="12"/>
      <c r="AB80" s="12"/>
      <c r="AC80" s="12"/>
      <c r="AD80" s="12"/>
      <c r="AE80" s="12"/>
      <c r="AF80" s="12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4">
        <f>SUM(BC80:BE80)</f>
      </c>
      <c r="BC80" s="14">
        <f>COUNTA(I80,L80,O80,R80,U80,X80,AA80,AD80,AG80,AJ80,AM80,AP80,AS80,AV80,AY80,J80,M80,P80,S80,V80,Y80,AB80,AE80,AH80,AK80,AN80,AQ80,AT80,AW80,AZ80)</f>
      </c>
      <c r="BD80" s="14">
        <v>0</v>
      </c>
      <c r="BE80" s="14">
        <f>COUNTA(K80,N80,Q80,T80,W80,Z80,AC80,AF80,AI80,AL80,AO80,AR80,AU80,AX80,BA80)</f>
      </c>
      <c r="BF80" s="8" t="s">
        <v>40</v>
      </c>
    </row>
    <row r="81" spans="2:58" x14ac:dyDescent="0.25">
      <c r="B81" s="8" t="s">
        <v>33</v>
      </c>
      <c r="C81" s="8" t="s">
        <v>209</v>
      </c>
      <c r="D81" s="9" t="s">
        <v>84</v>
      </c>
      <c r="E81" s="9" t="s">
        <v>219</v>
      </c>
      <c r="F81" s="8" t="s">
        <v>220</v>
      </c>
      <c r="G81" s="8" t="s">
        <v>52</v>
      </c>
      <c r="H81" s="10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2"/>
      <c r="Y81" s="12"/>
      <c r="Z81" s="12"/>
      <c r="AA81" s="12"/>
      <c r="AB81" s="12"/>
      <c r="AC81" s="12"/>
      <c r="AD81" s="12"/>
      <c r="AE81" s="12"/>
      <c r="AF81" s="12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4">
        <f>SUM(BC81:BE81)</f>
      </c>
      <c r="BC81" s="14">
        <f>COUNTA(I81,L81,O81,R81,U81,X81,AA81,AD81,AG81,AJ81,AM81,AP81,AS81,AV81,AY81,J81,M81,P81,S81,V81,Y81,AB81,AE81,AH81,AK81,AN81,AQ81,AT81,AW81,AZ81)</f>
      </c>
      <c r="BD81" s="14">
        <v>0</v>
      </c>
      <c r="BE81" s="14">
        <f>COUNTA(K81,N81,Q81,T81,W81,Z81,AC81,AF81,AI81,AL81,AO81,AR81,AU81,AX81,BA81)</f>
      </c>
      <c r="BF81" s="8" t="s">
        <v>40</v>
      </c>
    </row>
    <row r="82" spans="2:58" x14ac:dyDescent="0.25">
      <c r="B82" s="8" t="s">
        <v>33</v>
      </c>
      <c r="C82" s="8" t="s">
        <v>221</v>
      </c>
      <c r="D82" s="9" t="s">
        <v>67</v>
      </c>
      <c r="E82" s="9" t="s">
        <v>222</v>
      </c>
      <c r="F82" s="8" t="s">
        <v>223</v>
      </c>
      <c r="G82" s="8" t="s">
        <v>52</v>
      </c>
      <c r="H82" s="10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2"/>
      <c r="Y82" s="12"/>
      <c r="Z82" s="12"/>
      <c r="AA82" s="12"/>
      <c r="AB82" s="12"/>
      <c r="AC82" s="12"/>
      <c r="AD82" s="12"/>
      <c r="AE82" s="12"/>
      <c r="AF82" s="12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4">
        <f>SUM(BC82:BE82)</f>
      </c>
      <c r="BC82" s="14">
        <f>COUNTA(I82,L82,O82,R82,U82,X82,AA82,AD82,AG82,AJ82,AM82,AP82,AS82,AV82,AY82,J82,M82,P82,S82,V82,Y82,AB82,AE82,AH82,AK82,AN82,AQ82,AT82,AW82,AZ82)</f>
      </c>
      <c r="BD82" s="14">
        <v>0</v>
      </c>
      <c r="BE82" s="14">
        <f>COUNTA(K82,N82,Q82,T82,W82,Z82,AC82,AF82,AI82,AL82,AO82,AR82,AU82,AX82,BA82)</f>
      </c>
      <c r="BF82" s="8" t="s">
        <v>40</v>
      </c>
    </row>
    <row r="83" spans="2:58" x14ac:dyDescent="0.25">
      <c r="B83" s="8" t="s">
        <v>33</v>
      </c>
      <c r="C83" s="8" t="s">
        <v>221</v>
      </c>
      <c r="D83" s="9" t="s">
        <v>67</v>
      </c>
      <c r="E83" s="9" t="s">
        <v>224</v>
      </c>
      <c r="F83" s="8" t="s">
        <v>225</v>
      </c>
      <c r="G83" s="8" t="s">
        <v>38</v>
      </c>
      <c r="H83" s="10" t="s">
        <v>139</v>
      </c>
      <c r="I83" s="11" t="s">
        <v>38</v>
      </c>
      <c r="J83" s="11"/>
      <c r="K83" s="11"/>
      <c r="L83" s="11" t="s">
        <v>38</v>
      </c>
      <c r="M83" s="11"/>
      <c r="N83" s="11"/>
      <c r="O83" s="11" t="s">
        <v>38</v>
      </c>
      <c r="P83" s="11"/>
      <c r="Q83" s="11"/>
      <c r="R83" s="11" t="s">
        <v>38</v>
      </c>
      <c r="S83" s="11"/>
      <c r="T83" s="11"/>
      <c r="U83" s="11" t="s">
        <v>38</v>
      </c>
      <c r="V83" s="11"/>
      <c r="W83" s="11"/>
      <c r="X83" s="12" t="s">
        <v>38</v>
      </c>
      <c r="Y83" s="12"/>
      <c r="Z83" s="12"/>
      <c r="AA83" s="12" t="s">
        <v>38</v>
      </c>
      <c r="AB83" s="12"/>
      <c r="AC83" s="12"/>
      <c r="AD83" s="12" t="s">
        <v>38</v>
      </c>
      <c r="AE83" s="12"/>
      <c r="AF83" s="12"/>
      <c r="AG83" s="13" t="s">
        <v>38</v>
      </c>
      <c r="AH83" s="13"/>
      <c r="AI83" s="13"/>
      <c r="AJ83" s="13" t="s">
        <v>38</v>
      </c>
      <c r="AK83" s="13"/>
      <c r="AL83" s="13"/>
      <c r="AM83" s="13" t="s">
        <v>38</v>
      </c>
      <c r="AN83" s="13"/>
      <c r="AO83" s="13"/>
      <c r="AP83" s="13" t="s">
        <v>38</v>
      </c>
      <c r="AQ83" s="13"/>
      <c r="AR83" s="13"/>
      <c r="AS83" s="13" t="s">
        <v>38</v>
      </c>
      <c r="AT83" s="13"/>
      <c r="AU83" s="13"/>
      <c r="AV83" s="13" t="s">
        <v>38</v>
      </c>
      <c r="AW83" s="13"/>
      <c r="AX83" s="13"/>
      <c r="AY83" s="13" t="s">
        <v>38</v>
      </c>
      <c r="AZ83" s="13"/>
      <c r="BA83" s="13"/>
      <c r="BB83" s="14">
        <f>SUM(BC83:BE83)</f>
      </c>
      <c r="BC83" s="14">
        <f>COUNTA(I83,L83,O83,R83,U83,X83,AA83,AD83,AG83,AJ83,AM83,AP83,AS83,AV83,AY83,J83,M83,P83,S83,V83,Y83,AB83,AE83,AH83,AK83,AN83,AQ83,AT83,AW83,AZ83)</f>
      </c>
      <c r="BD83" s="14">
        <v>0</v>
      </c>
      <c r="BE83" s="14">
        <f>COUNTA(K83,N83,Q83,T83,W83,Z83,AC83,AF83,AI83,AL83,AO83,AR83,AU83,AX83,BA83)</f>
      </c>
      <c r="BF83" s="8" t="s">
        <v>40</v>
      </c>
    </row>
    <row r="84" spans="2:58" x14ac:dyDescent="0.25">
      <c r="B84" s="8" t="s">
        <v>33</v>
      </c>
      <c r="C84" s="8" t="s">
        <v>221</v>
      </c>
      <c r="D84" s="9" t="s">
        <v>67</v>
      </c>
      <c r="E84" s="9" t="s">
        <v>226</v>
      </c>
      <c r="F84" s="8" t="s">
        <v>227</v>
      </c>
      <c r="G84" s="8" t="s">
        <v>38</v>
      </c>
      <c r="H84" s="10" t="s">
        <v>80</v>
      </c>
      <c r="I84" s="11"/>
      <c r="J84" s="11" t="s">
        <v>38</v>
      </c>
      <c r="K84" s="11"/>
      <c r="L84" s="11" t="s">
        <v>38</v>
      </c>
      <c r="M84" s="11"/>
      <c r="N84" s="11"/>
      <c r="O84" s="11" t="s">
        <v>38</v>
      </c>
      <c r="P84" s="11"/>
      <c r="Q84" s="11"/>
      <c r="R84" s="11" t="s">
        <v>38</v>
      </c>
      <c r="S84" s="11"/>
      <c r="T84" s="11"/>
      <c r="U84" s="11" t="s">
        <v>38</v>
      </c>
      <c r="V84" s="11"/>
      <c r="W84" s="11"/>
      <c r="X84" s="12" t="s">
        <v>38</v>
      </c>
      <c r="Y84" s="12"/>
      <c r="Z84" s="12"/>
      <c r="AA84" s="12" t="s">
        <v>38</v>
      </c>
      <c r="AB84" s="12"/>
      <c r="AC84" s="12"/>
      <c r="AD84" s="12" t="s">
        <v>38</v>
      </c>
      <c r="AE84" s="12"/>
      <c r="AF84" s="12"/>
      <c r="AG84" s="13" t="s">
        <v>38</v>
      </c>
      <c r="AH84" s="13"/>
      <c r="AI84" s="13"/>
      <c r="AJ84" s="13" t="s">
        <v>38</v>
      </c>
      <c r="AK84" s="13"/>
      <c r="AL84" s="13"/>
      <c r="AM84" s="13" t="s">
        <v>38</v>
      </c>
      <c r="AN84" s="13"/>
      <c r="AO84" s="13"/>
      <c r="AP84" s="13" t="s">
        <v>38</v>
      </c>
      <c r="AQ84" s="13"/>
      <c r="AR84" s="13"/>
      <c r="AS84" s="13" t="s">
        <v>38</v>
      </c>
      <c r="AT84" s="13"/>
      <c r="AU84" s="13"/>
      <c r="AV84" s="13" t="s">
        <v>38</v>
      </c>
      <c r="AW84" s="13"/>
      <c r="AX84" s="13"/>
      <c r="AY84" s="13"/>
      <c r="AZ84" s="13" t="s">
        <v>38</v>
      </c>
      <c r="BA84" s="13"/>
      <c r="BB84" s="14">
        <f>SUM(BC84:BE84)</f>
      </c>
      <c r="BC84" s="14">
        <f>COUNTA(I84,L84,O84,R84,U84,X84,AA84,AD84,AG84,AJ84,AM84,AP84,AS84,AV84,AY84,J84,M84,P84,S84,V84,Y84,AB84,AE84,AH84,AK84,AN84,AQ84,AT84,AW84,AZ84)</f>
      </c>
      <c r="BD84" s="14">
        <v>0</v>
      </c>
      <c r="BE84" s="14">
        <f>COUNTA(K84,N84,Q84,T84,W84,Z84,AC84,AF84,AI84,AL84,AO84,AR84,AU84,AX84,BA84)</f>
      </c>
      <c r="BF84" s="8" t="s">
        <v>40</v>
      </c>
    </row>
    <row r="85" spans="2:58" x14ac:dyDescent="0.25">
      <c r="B85" s="8" t="s">
        <v>33</v>
      </c>
      <c r="C85" s="8" t="s">
        <v>221</v>
      </c>
      <c r="D85" s="9" t="s">
        <v>110</v>
      </c>
      <c r="E85" s="9" t="s">
        <v>228</v>
      </c>
      <c r="F85" s="8" t="s">
        <v>229</v>
      </c>
      <c r="G85" s="8" t="s">
        <v>52</v>
      </c>
      <c r="H85" s="10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4">
        <f>SUM(BC85:BE85)</f>
      </c>
      <c r="BC85" s="14">
        <f>COUNTA(I85,L85,O85,R85,U85,X85,AA85,AD85,AG85,AJ85,AM85,AP85,AS85,AV85,AY85,J85,M85,P85,S85,V85,Y85,AB85,AE85,AH85,AK85,AN85,AQ85,AT85,AW85,AZ85)</f>
      </c>
      <c r="BD85" s="14">
        <v>0</v>
      </c>
      <c r="BE85" s="14">
        <f>COUNTA(K85,N85,Q85,T85,W85,Z85,AC85,AF85,AI85,AL85,AO85,AR85,AU85,AX85,BA85)</f>
      </c>
      <c r="BF85" s="8" t="s">
        <v>40</v>
      </c>
    </row>
    <row r="86" spans="2:58" x14ac:dyDescent="0.25">
      <c r="B86" s="8" t="s">
        <v>33</v>
      </c>
      <c r="C86" s="8" t="s">
        <v>221</v>
      </c>
      <c r="D86" s="9" t="s">
        <v>110</v>
      </c>
      <c r="E86" s="9" t="s">
        <v>230</v>
      </c>
      <c r="F86" s="8" t="s">
        <v>231</v>
      </c>
      <c r="G86" s="8" t="s">
        <v>38</v>
      </c>
      <c r="H86" s="10" t="s">
        <v>139</v>
      </c>
      <c r="I86" s="11" t="s">
        <v>38</v>
      </c>
      <c r="J86" s="11"/>
      <c r="K86" s="11"/>
      <c r="L86" s="11"/>
      <c r="M86" s="11" t="s">
        <v>38</v>
      </c>
      <c r="N86" s="11"/>
      <c r="O86" s="11" t="s">
        <v>38</v>
      </c>
      <c r="P86" s="11"/>
      <c r="Q86" s="11"/>
      <c r="R86" s="11" t="s">
        <v>38</v>
      </c>
      <c r="S86" s="11"/>
      <c r="T86" s="11"/>
      <c r="U86" s="11" t="s">
        <v>38</v>
      </c>
      <c r="V86" s="11"/>
      <c r="W86" s="11"/>
      <c r="X86" s="12" t="s">
        <v>38</v>
      </c>
      <c r="Y86" s="12"/>
      <c r="Z86" s="12"/>
      <c r="AA86" s="12" t="s">
        <v>38</v>
      </c>
      <c r="AB86" s="12"/>
      <c r="AC86" s="12"/>
      <c r="AD86" s="12"/>
      <c r="AE86" s="12" t="s">
        <v>38</v>
      </c>
      <c r="AF86" s="12"/>
      <c r="AG86" s="13" t="s">
        <v>38</v>
      </c>
      <c r="AH86" s="13"/>
      <c r="AI86" s="13"/>
      <c r="AJ86" s="13" t="s">
        <v>38</v>
      </c>
      <c r="AK86" s="13"/>
      <c r="AL86" s="13"/>
      <c r="AM86" s="13" t="s">
        <v>38</v>
      </c>
      <c r="AN86" s="13"/>
      <c r="AO86" s="13"/>
      <c r="AP86" s="13"/>
      <c r="AQ86" s="13" t="s">
        <v>38</v>
      </c>
      <c r="AR86" s="13"/>
      <c r="AS86" s="13"/>
      <c r="AT86" s="13" t="s">
        <v>38</v>
      </c>
      <c r="AU86" s="13"/>
      <c r="AV86" s="13" t="s">
        <v>38</v>
      </c>
      <c r="AW86" s="13"/>
      <c r="AX86" s="13"/>
      <c r="AY86" s="13" t="s">
        <v>38</v>
      </c>
      <c r="AZ86" s="13"/>
      <c r="BA86" s="13"/>
      <c r="BB86" s="14">
        <f>SUM(BC86:BE86)</f>
      </c>
      <c r="BC86" s="14">
        <f>COUNTA(I86,L86,O86,R86,U86,X86,AA86,AD86,AG86,AJ86,AM86,AP86,AS86,AV86,AY86,J86,M86,P86,S86,V86,Y86,AB86,AE86,AH86,AK86,AN86,AQ86,AT86,AW86,AZ86)</f>
      </c>
      <c r="BD86" s="14">
        <v>0</v>
      </c>
      <c r="BE86" s="14">
        <f>COUNTA(K86,N86,Q86,T86,W86,Z86,AC86,AF86,AI86,AL86,AO86,AR86,AU86,AX86,BA86)</f>
      </c>
      <c r="BF86" s="8" t="s">
        <v>40</v>
      </c>
    </row>
    <row r="87" spans="2:58" x14ac:dyDescent="0.25">
      <c r="B87" s="8" t="s">
        <v>33</v>
      </c>
      <c r="C87" s="8" t="s">
        <v>221</v>
      </c>
      <c r="D87" s="9" t="s">
        <v>110</v>
      </c>
      <c r="E87" s="9" t="s">
        <v>232</v>
      </c>
      <c r="F87" s="8" t="s">
        <v>233</v>
      </c>
      <c r="G87" s="8" t="s">
        <v>38</v>
      </c>
      <c r="H87" s="10" t="s">
        <v>139</v>
      </c>
      <c r="I87" s="11" t="s">
        <v>38</v>
      </c>
      <c r="J87" s="11"/>
      <c r="K87" s="11"/>
      <c r="L87" s="11" t="s">
        <v>38</v>
      </c>
      <c r="M87" s="11"/>
      <c r="N87" s="11"/>
      <c r="O87" s="11" t="s">
        <v>38</v>
      </c>
      <c r="P87" s="11"/>
      <c r="Q87" s="11"/>
      <c r="R87" s="11" t="s">
        <v>38</v>
      </c>
      <c r="S87" s="11"/>
      <c r="T87" s="11"/>
      <c r="U87" s="11" t="s">
        <v>38</v>
      </c>
      <c r="V87" s="11"/>
      <c r="W87" s="11"/>
      <c r="X87" s="12" t="s">
        <v>38</v>
      </c>
      <c r="Y87" s="12"/>
      <c r="Z87" s="12"/>
      <c r="AA87" s="12" t="s">
        <v>38</v>
      </c>
      <c r="AB87" s="12"/>
      <c r="AC87" s="12"/>
      <c r="AD87" s="12" t="s">
        <v>38</v>
      </c>
      <c r="AE87" s="12"/>
      <c r="AF87" s="12"/>
      <c r="AG87" s="13" t="s">
        <v>38</v>
      </c>
      <c r="AH87" s="13"/>
      <c r="AI87" s="13"/>
      <c r="AJ87" s="13" t="s">
        <v>38</v>
      </c>
      <c r="AK87" s="13"/>
      <c r="AL87" s="13"/>
      <c r="AM87" s="13" t="s">
        <v>38</v>
      </c>
      <c r="AN87" s="13"/>
      <c r="AO87" s="13"/>
      <c r="AP87" s="13" t="s">
        <v>38</v>
      </c>
      <c r="AQ87" s="13"/>
      <c r="AR87" s="13"/>
      <c r="AS87" s="13" t="s">
        <v>38</v>
      </c>
      <c r="AT87" s="13"/>
      <c r="AU87" s="13"/>
      <c r="AV87" s="13" t="s">
        <v>38</v>
      </c>
      <c r="AW87" s="13"/>
      <c r="AX87" s="13"/>
      <c r="AY87" s="13" t="s">
        <v>38</v>
      </c>
      <c r="AZ87" s="13"/>
      <c r="BA87" s="13"/>
      <c r="BB87" s="14">
        <f>SUM(BC87:BE87)</f>
      </c>
      <c r="BC87" s="14">
        <f>COUNTA(I87,L87,O87,R87,U87,X87,AA87,AD87,AG87,AJ87,AM87,AP87,AS87,AV87,AY87,J87,M87,P87,S87,V87,Y87,AB87,AE87,AH87,AK87,AN87,AQ87,AT87,AW87,AZ87)</f>
      </c>
      <c r="BD87" s="14">
        <v>0</v>
      </c>
      <c r="BE87" s="14">
        <f>COUNTA(K87,N87,Q87,T87,W87,Z87,AC87,AF87,AI87,AL87,AO87,AR87,AU87,AX87,BA87)</f>
      </c>
      <c r="BF87" s="8" t="s">
        <v>40</v>
      </c>
    </row>
    <row r="88" spans="2:58" x14ac:dyDescent="0.25">
      <c r="B88" s="8" t="s">
        <v>33</v>
      </c>
      <c r="C88" s="8" t="s">
        <v>221</v>
      </c>
      <c r="D88" s="9" t="s">
        <v>110</v>
      </c>
      <c r="E88" s="9" t="s">
        <v>234</v>
      </c>
      <c r="F88" s="8" t="s">
        <v>235</v>
      </c>
      <c r="G88" s="8" t="s">
        <v>38</v>
      </c>
      <c r="H88" s="10" t="s">
        <v>83</v>
      </c>
      <c r="I88" s="11" t="s">
        <v>38</v>
      </c>
      <c r="J88" s="11"/>
      <c r="K88" s="11"/>
      <c r="L88" s="11" t="s">
        <v>38</v>
      </c>
      <c r="M88" s="11"/>
      <c r="N88" s="11"/>
      <c r="O88" s="11" t="s">
        <v>38</v>
      </c>
      <c r="P88" s="11"/>
      <c r="Q88" s="11"/>
      <c r="R88" s="11" t="s">
        <v>38</v>
      </c>
      <c r="S88" s="11"/>
      <c r="T88" s="11"/>
      <c r="U88" s="11" t="s">
        <v>38</v>
      </c>
      <c r="V88" s="11"/>
      <c r="W88" s="11"/>
      <c r="X88" s="12" t="s">
        <v>38</v>
      </c>
      <c r="Y88" s="12"/>
      <c r="Z88" s="12"/>
      <c r="AA88" s="12" t="s">
        <v>38</v>
      </c>
      <c r="AB88" s="12"/>
      <c r="AC88" s="12"/>
      <c r="AD88" s="12" t="s">
        <v>38</v>
      </c>
      <c r="AE88" s="12"/>
      <c r="AF88" s="12"/>
      <c r="AG88" s="13" t="s">
        <v>38</v>
      </c>
      <c r="AH88" s="13"/>
      <c r="AI88" s="13"/>
      <c r="AJ88" s="13" t="s">
        <v>38</v>
      </c>
      <c r="AK88" s="13"/>
      <c r="AL88" s="13"/>
      <c r="AM88" s="13" t="s">
        <v>38</v>
      </c>
      <c r="AN88" s="13"/>
      <c r="AO88" s="13"/>
      <c r="AP88" s="13" t="s">
        <v>38</v>
      </c>
      <c r="AQ88" s="13"/>
      <c r="AR88" s="13"/>
      <c r="AS88" s="13" t="s">
        <v>38</v>
      </c>
      <c r="AT88" s="13"/>
      <c r="AU88" s="13"/>
      <c r="AV88" s="13" t="s">
        <v>38</v>
      </c>
      <c r="AW88" s="13"/>
      <c r="AX88" s="13"/>
      <c r="AY88" s="13" t="s">
        <v>38</v>
      </c>
      <c r="AZ88" s="13"/>
      <c r="BA88" s="13"/>
      <c r="BB88" s="14">
        <f>SUM(BC88:BE88)</f>
      </c>
      <c r="BC88" s="14">
        <f>COUNTA(I88,L88,O88,R88,U88,X88,AA88,AD88,AG88,AJ88,AM88,AP88,AS88,AV88,AY88,J88,M88,P88,S88,V88,Y88,AB88,AE88,AH88,AK88,AN88,AQ88,AT88,AW88,AZ88)</f>
      </c>
      <c r="BD88" s="14">
        <v>0</v>
      </c>
      <c r="BE88" s="14">
        <f>COUNTA(K88,N88,Q88,T88,W88,Z88,AC88,AF88,AI88,AL88,AO88,AR88,AU88,AX88,BA88)</f>
      </c>
      <c r="BF88" s="8" t="s">
        <v>40</v>
      </c>
    </row>
    <row r="89" spans="2:58" x14ac:dyDescent="0.25">
      <c r="B89" s="8" t="s">
        <v>33</v>
      </c>
      <c r="C89" s="8" t="s">
        <v>221</v>
      </c>
      <c r="D89" s="9" t="s">
        <v>67</v>
      </c>
      <c r="E89" s="9" t="s">
        <v>236</v>
      </c>
      <c r="F89" s="8" t="s">
        <v>237</v>
      </c>
      <c r="G89" s="8" t="s">
        <v>52</v>
      </c>
      <c r="H89" s="10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12"/>
      <c r="Z89" s="12"/>
      <c r="AA89" s="12"/>
      <c r="AB89" s="12"/>
      <c r="AC89" s="12"/>
      <c r="AD89" s="12"/>
      <c r="AE89" s="12"/>
      <c r="AF89" s="12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4">
        <f>SUM(BC89:BE89)</f>
      </c>
      <c r="BC89" s="14">
        <f>COUNTA(I89,L89,O89,R89,U89,X89,AA89,AD89,AG89,AJ89,AM89,AP89,AS89,AV89,AY89,J89,M89,P89,S89,V89,Y89,AB89,AE89,AH89,AK89,AN89,AQ89,AT89,AW89,AZ89)</f>
      </c>
      <c r="BD89" s="14">
        <v>0</v>
      </c>
      <c r="BE89" s="14">
        <f>COUNTA(K89,N89,Q89,T89,W89,Z89,AC89,AF89,AI89,AL89,AO89,AR89,AU89,AX89,BA89)</f>
      </c>
      <c r="BF89" s="8" t="s">
        <v>40</v>
      </c>
    </row>
    <row r="90" spans="2:58" x14ac:dyDescent="0.25">
      <c r="B90" s="8" t="s">
        <v>33</v>
      </c>
      <c r="C90" s="8" t="s">
        <v>221</v>
      </c>
      <c r="D90" s="9" t="s">
        <v>84</v>
      </c>
      <c r="E90" s="9" t="s">
        <v>238</v>
      </c>
      <c r="F90" s="8" t="s">
        <v>239</v>
      </c>
      <c r="G90" s="8" t="s">
        <v>52</v>
      </c>
      <c r="H90" s="10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12"/>
      <c r="Z90" s="12"/>
      <c r="AA90" s="12"/>
      <c r="AB90" s="12"/>
      <c r="AC90" s="12"/>
      <c r="AD90" s="12"/>
      <c r="AE90" s="12"/>
      <c r="AF90" s="12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4">
        <f>SUM(BC90:BE90)</f>
      </c>
      <c r="BC90" s="14">
        <f>COUNTA(I90,L90,O90,R90,U90,X90,AA90,AD90,AG90,AJ90,AM90,AP90,AS90,AV90,AY90,J90,M90,P90,S90,V90,Y90,AB90,AE90,AH90,AK90,AN90,AQ90,AT90,AW90,AZ90)</f>
      </c>
      <c r="BD90" s="14">
        <v>0</v>
      </c>
      <c r="BE90" s="14">
        <f>COUNTA(K90,N90,Q90,T90,W90,Z90,AC90,AF90,AI90,AL90,AO90,AR90,AU90,AX90,BA90)</f>
      </c>
      <c r="BF90" s="8" t="s">
        <v>40</v>
      </c>
    </row>
    <row r="91" spans="2:58" x14ac:dyDescent="0.25">
      <c r="B91" s="8" t="s">
        <v>33</v>
      </c>
      <c r="C91" s="8" t="s">
        <v>221</v>
      </c>
      <c r="D91" s="9" t="s">
        <v>151</v>
      </c>
      <c r="E91" s="9" t="s">
        <v>240</v>
      </c>
      <c r="F91" s="8" t="s">
        <v>241</v>
      </c>
      <c r="G91" s="8" t="s">
        <v>38</v>
      </c>
      <c r="H91" s="10" t="s">
        <v>80</v>
      </c>
      <c r="I91" s="11"/>
      <c r="J91" s="11" t="s">
        <v>38</v>
      </c>
      <c r="K91" s="11"/>
      <c r="L91" s="11" t="s">
        <v>38</v>
      </c>
      <c r="M91" s="11"/>
      <c r="N91" s="11"/>
      <c r="O91" s="11" t="s">
        <v>38</v>
      </c>
      <c r="P91" s="11"/>
      <c r="Q91" s="11"/>
      <c r="R91" s="11" t="s">
        <v>38</v>
      </c>
      <c r="S91" s="11"/>
      <c r="T91" s="11"/>
      <c r="U91" s="11" t="s">
        <v>38</v>
      </c>
      <c r="V91" s="11"/>
      <c r="W91" s="11"/>
      <c r="X91" s="12" t="s">
        <v>38</v>
      </c>
      <c r="Y91" s="12"/>
      <c r="Z91" s="12"/>
      <c r="AA91" s="12" t="s">
        <v>38</v>
      </c>
      <c r="AB91" s="12"/>
      <c r="AC91" s="12"/>
      <c r="AD91" s="12" t="s">
        <v>38</v>
      </c>
      <c r="AE91" s="12"/>
      <c r="AF91" s="12"/>
      <c r="AG91" s="13" t="s">
        <v>38</v>
      </c>
      <c r="AH91" s="13"/>
      <c r="AI91" s="13"/>
      <c r="AJ91" s="13" t="s">
        <v>38</v>
      </c>
      <c r="AK91" s="13"/>
      <c r="AL91" s="13"/>
      <c r="AM91" s="13" t="s">
        <v>38</v>
      </c>
      <c r="AN91" s="13"/>
      <c r="AO91" s="13"/>
      <c r="AP91" s="13" t="s">
        <v>38</v>
      </c>
      <c r="AQ91" s="13"/>
      <c r="AR91" s="13"/>
      <c r="AS91" s="13"/>
      <c r="AT91" s="13" t="s">
        <v>38</v>
      </c>
      <c r="AU91" s="13"/>
      <c r="AV91" s="13" t="s">
        <v>38</v>
      </c>
      <c r="AW91" s="13"/>
      <c r="AX91" s="13"/>
      <c r="AY91" s="13" t="s">
        <v>38</v>
      </c>
      <c r="AZ91" s="13"/>
      <c r="BA91" s="13"/>
      <c r="BB91" s="14">
        <f>SUM(BC91:BE91)</f>
      </c>
      <c r="BC91" s="14">
        <f>COUNTA(I91,L91,O91,R91,U91,X91,AA91,AD91,AG91,AJ91,AM91,AP91,AS91,AV91,AY91,J91,M91,P91,S91,V91,Y91,AB91,AE91,AH91,AK91,AN91,AQ91,AT91,AW91,AZ91)</f>
      </c>
      <c r="BD91" s="14">
        <v>0</v>
      </c>
      <c r="BE91" s="14">
        <f>COUNTA(K91,N91,Q91,T91,W91,Z91,AC91,AF91,AI91,AL91,AO91,AR91,AU91,AX91,BA91)</f>
      </c>
      <c r="BF91" s="8" t="s">
        <v>40</v>
      </c>
    </row>
    <row r="92" spans="2:58" x14ac:dyDescent="0.25">
      <c r="B92" s="8" t="s">
        <v>33</v>
      </c>
      <c r="C92" s="8" t="s">
        <v>221</v>
      </c>
      <c r="D92" s="9" t="s">
        <v>151</v>
      </c>
      <c r="E92" s="9" t="s">
        <v>242</v>
      </c>
      <c r="F92" s="8" t="s">
        <v>243</v>
      </c>
      <c r="G92" s="8" t="s">
        <v>38</v>
      </c>
      <c r="H92" s="10" t="s">
        <v>91</v>
      </c>
      <c r="I92" s="11" t="s">
        <v>38</v>
      </c>
      <c r="J92" s="11"/>
      <c r="K92" s="11"/>
      <c r="L92" s="11" t="s">
        <v>38</v>
      </c>
      <c r="M92" s="11"/>
      <c r="N92" s="11"/>
      <c r="O92" s="11" t="s">
        <v>38</v>
      </c>
      <c r="P92" s="11"/>
      <c r="Q92" s="11"/>
      <c r="R92" s="11" t="s">
        <v>38</v>
      </c>
      <c r="S92" s="11"/>
      <c r="T92" s="11"/>
      <c r="U92" s="11" t="s">
        <v>38</v>
      </c>
      <c r="V92" s="11"/>
      <c r="W92" s="11"/>
      <c r="X92" s="12" t="s">
        <v>38</v>
      </c>
      <c r="Y92" s="12"/>
      <c r="Z92" s="12"/>
      <c r="AA92" s="12" t="s">
        <v>38</v>
      </c>
      <c r="AB92" s="12"/>
      <c r="AC92" s="12"/>
      <c r="AD92" s="12" t="s">
        <v>38</v>
      </c>
      <c r="AE92" s="12"/>
      <c r="AF92" s="12"/>
      <c r="AG92" s="13" t="s">
        <v>38</v>
      </c>
      <c r="AH92" s="13"/>
      <c r="AI92" s="13"/>
      <c r="AJ92" s="13" t="s">
        <v>38</v>
      </c>
      <c r="AK92" s="13"/>
      <c r="AL92" s="13"/>
      <c r="AM92" s="13" t="s">
        <v>38</v>
      </c>
      <c r="AN92" s="13"/>
      <c r="AO92" s="13"/>
      <c r="AP92" s="13" t="s">
        <v>38</v>
      </c>
      <c r="AQ92" s="13"/>
      <c r="AR92" s="13"/>
      <c r="AS92" s="13" t="s">
        <v>38</v>
      </c>
      <c r="AT92" s="13"/>
      <c r="AU92" s="13"/>
      <c r="AV92" s="13" t="s">
        <v>38</v>
      </c>
      <c r="AW92" s="13"/>
      <c r="AX92" s="13"/>
      <c r="AY92" s="13" t="s">
        <v>38</v>
      </c>
      <c r="AZ92" s="13"/>
      <c r="BA92" s="13"/>
      <c r="BB92" s="14">
        <f>SUM(BC92:BE92)</f>
      </c>
      <c r="BC92" s="14">
        <f>COUNTA(I92,L92,O92,R92,U92,X92,AA92,AD92,AG92,AJ92,AM92,AP92,AS92,AV92,AY92,J92,M92,P92,S92,V92,Y92,AB92,AE92,AH92,AK92,AN92,AQ92,AT92,AW92,AZ92)</f>
      </c>
      <c r="BD92" s="14">
        <v>0</v>
      </c>
      <c r="BE92" s="14">
        <f>COUNTA(K92,N92,Q92,T92,W92,Z92,AC92,AF92,AI92,AL92,AO92,AR92,AU92,AX92,BA92)</f>
      </c>
      <c r="BF92" s="8" t="s">
        <v>40</v>
      </c>
    </row>
    <row r="93" spans="2:58" x14ac:dyDescent="0.25">
      <c r="B93" s="8" t="s">
        <v>33</v>
      </c>
      <c r="C93" s="8" t="s">
        <v>221</v>
      </c>
      <c r="D93" s="9" t="s">
        <v>151</v>
      </c>
      <c r="E93" s="9" t="s">
        <v>244</v>
      </c>
      <c r="F93" s="8" t="s">
        <v>245</v>
      </c>
      <c r="G93" s="8" t="s">
        <v>38</v>
      </c>
      <c r="H93" s="10" t="s">
        <v>80</v>
      </c>
      <c r="I93" s="11" t="s">
        <v>38</v>
      </c>
      <c r="J93" s="11"/>
      <c r="K93" s="11"/>
      <c r="L93" s="11"/>
      <c r="M93" s="11" t="s">
        <v>38</v>
      </c>
      <c r="N93" s="11"/>
      <c r="O93" s="11" t="s">
        <v>38</v>
      </c>
      <c r="P93" s="11"/>
      <c r="Q93" s="11"/>
      <c r="R93" s="11" t="s">
        <v>38</v>
      </c>
      <c r="S93" s="11"/>
      <c r="T93" s="11"/>
      <c r="U93" s="11" t="s">
        <v>38</v>
      </c>
      <c r="V93" s="11"/>
      <c r="W93" s="11"/>
      <c r="X93" s="12" t="s">
        <v>38</v>
      </c>
      <c r="Y93" s="12"/>
      <c r="Z93" s="12"/>
      <c r="AA93" s="12" t="s">
        <v>38</v>
      </c>
      <c r="AB93" s="12"/>
      <c r="AC93" s="12"/>
      <c r="AD93" s="12"/>
      <c r="AE93" s="12" t="s">
        <v>38</v>
      </c>
      <c r="AF93" s="12"/>
      <c r="AG93" s="13" t="s">
        <v>38</v>
      </c>
      <c r="AH93" s="13"/>
      <c r="AI93" s="13"/>
      <c r="AJ93" s="13" t="s">
        <v>38</v>
      </c>
      <c r="AK93" s="13"/>
      <c r="AL93" s="13"/>
      <c r="AM93" s="13" t="s">
        <v>38</v>
      </c>
      <c r="AN93" s="13"/>
      <c r="AO93" s="13"/>
      <c r="AP93" s="13" t="s">
        <v>38</v>
      </c>
      <c r="AQ93" s="13"/>
      <c r="AR93" s="13"/>
      <c r="AS93" s="13"/>
      <c r="AT93" s="13" t="s">
        <v>38</v>
      </c>
      <c r="AU93" s="13"/>
      <c r="AV93" s="13" t="s">
        <v>38</v>
      </c>
      <c r="AW93" s="13"/>
      <c r="AX93" s="13"/>
      <c r="AY93" s="13" t="s">
        <v>38</v>
      </c>
      <c r="AZ93" s="13"/>
      <c r="BA93" s="13"/>
      <c r="BB93" s="14">
        <f>SUM(BC93:BE93)</f>
      </c>
      <c r="BC93" s="14">
        <f>COUNTA(I93,L93,O93,R93,U93,X93,AA93,AD93,AG93,AJ93,AM93,AP93,AS93,AV93,AY93,J93,M93,P93,S93,V93,Y93,AB93,AE93,AH93,AK93,AN93,AQ93,AT93,AW93,AZ93)</f>
      </c>
      <c r="BD93" s="14">
        <v>0</v>
      </c>
      <c r="BE93" s="14">
        <f>COUNTA(K93,N93,Q93,T93,W93,Z93,AC93,AF93,AI93,AL93,AO93,AR93,AU93,AX93,BA93)</f>
      </c>
      <c r="BF93" s="8" t="s">
        <v>40</v>
      </c>
    </row>
    <row r="94" spans="2:58" x14ac:dyDescent="0.25">
      <c r="B94" s="8" t="s">
        <v>33</v>
      </c>
      <c r="C94" s="8" t="s">
        <v>221</v>
      </c>
      <c r="D94" s="9" t="s">
        <v>151</v>
      </c>
      <c r="E94" s="9" t="s">
        <v>246</v>
      </c>
      <c r="F94" s="8" t="s">
        <v>247</v>
      </c>
      <c r="G94" s="8" t="s">
        <v>38</v>
      </c>
      <c r="H94" s="10" t="s">
        <v>248</v>
      </c>
      <c r="I94" s="11" t="s">
        <v>38</v>
      </c>
      <c r="J94" s="11"/>
      <c r="K94" s="11"/>
      <c r="L94" s="11" t="s">
        <v>38</v>
      </c>
      <c r="M94" s="11"/>
      <c r="N94" s="11"/>
      <c r="O94" s="11" t="s">
        <v>38</v>
      </c>
      <c r="P94" s="11"/>
      <c r="Q94" s="11"/>
      <c r="R94" s="11" t="s">
        <v>38</v>
      </c>
      <c r="S94" s="11"/>
      <c r="T94" s="11"/>
      <c r="U94" s="11" t="s">
        <v>38</v>
      </c>
      <c r="V94" s="11"/>
      <c r="W94" s="11"/>
      <c r="X94" s="12" t="s">
        <v>38</v>
      </c>
      <c r="Y94" s="12"/>
      <c r="Z94" s="12"/>
      <c r="AA94" s="12"/>
      <c r="AB94" s="12" t="s">
        <v>38</v>
      </c>
      <c r="AC94" s="12"/>
      <c r="AD94" s="12" t="s">
        <v>38</v>
      </c>
      <c r="AE94" s="12"/>
      <c r="AF94" s="12"/>
      <c r="AG94" s="13" t="s">
        <v>38</v>
      </c>
      <c r="AH94" s="13"/>
      <c r="AI94" s="13"/>
      <c r="AJ94" s="13" t="s">
        <v>38</v>
      </c>
      <c r="AK94" s="13"/>
      <c r="AL94" s="13"/>
      <c r="AM94" s="13" t="s">
        <v>38</v>
      </c>
      <c r="AN94" s="13"/>
      <c r="AO94" s="13"/>
      <c r="AP94" s="13" t="s">
        <v>38</v>
      </c>
      <c r="AQ94" s="13"/>
      <c r="AR94" s="13"/>
      <c r="AS94" s="13" t="s">
        <v>38</v>
      </c>
      <c r="AT94" s="13"/>
      <c r="AU94" s="13"/>
      <c r="AV94" s="13" t="s">
        <v>38</v>
      </c>
      <c r="AW94" s="13"/>
      <c r="AX94" s="13"/>
      <c r="AY94" s="13" t="s">
        <v>38</v>
      </c>
      <c r="AZ94" s="13"/>
      <c r="BA94" s="13"/>
      <c r="BB94" s="14">
        <f>SUM(BC94:BE94)</f>
      </c>
      <c r="BC94" s="14">
        <f>COUNTA(I94,L94,O94,R94,U94,X94,AA94,AD94,AG94,AJ94,AM94,AP94,AS94,AV94,AY94,J94,M94,P94,S94,V94,Y94,AB94,AE94,AH94,AK94,AN94,AQ94,AT94,AW94,AZ94)</f>
      </c>
      <c r="BD94" s="14">
        <v>0</v>
      </c>
      <c r="BE94" s="14">
        <f>COUNTA(K94,N94,Q94,T94,W94,Z94,AC94,AF94,AI94,AL94,AO94,AR94,AU94,AX94,BA94)</f>
      </c>
      <c r="BF94" s="8" t="s">
        <v>40</v>
      </c>
    </row>
    <row r="95" spans="2:58" x14ac:dyDescent="0.25">
      <c r="B95" s="8" t="s">
        <v>33</v>
      </c>
      <c r="C95" s="8" t="s">
        <v>221</v>
      </c>
      <c r="D95" s="9" t="s">
        <v>151</v>
      </c>
      <c r="E95" s="9" t="s">
        <v>249</v>
      </c>
      <c r="F95" s="8" t="s">
        <v>250</v>
      </c>
      <c r="G95" s="8" t="s">
        <v>38</v>
      </c>
      <c r="H95" s="10" t="s">
        <v>251</v>
      </c>
      <c r="I95" s="11" t="s">
        <v>38</v>
      </c>
      <c r="J95" s="11"/>
      <c r="K95" s="11"/>
      <c r="L95" s="11" t="s">
        <v>38</v>
      </c>
      <c r="M95" s="11"/>
      <c r="N95" s="11"/>
      <c r="O95" s="11" t="s">
        <v>38</v>
      </c>
      <c r="P95" s="11"/>
      <c r="Q95" s="11"/>
      <c r="R95" s="11" t="s">
        <v>38</v>
      </c>
      <c r="S95" s="11"/>
      <c r="T95" s="11"/>
      <c r="U95" s="11" t="s">
        <v>38</v>
      </c>
      <c r="V95" s="11"/>
      <c r="W95" s="11"/>
      <c r="X95" s="12" t="s">
        <v>38</v>
      </c>
      <c r="Y95" s="12"/>
      <c r="Z95" s="12"/>
      <c r="AA95" s="12" t="s">
        <v>38</v>
      </c>
      <c r="AB95" s="12"/>
      <c r="AC95" s="12"/>
      <c r="AD95" s="12" t="s">
        <v>38</v>
      </c>
      <c r="AE95" s="12"/>
      <c r="AF95" s="12"/>
      <c r="AG95" s="13" t="s">
        <v>38</v>
      </c>
      <c r="AH95" s="13"/>
      <c r="AI95" s="13"/>
      <c r="AJ95" s="13" t="s">
        <v>38</v>
      </c>
      <c r="AK95" s="13"/>
      <c r="AL95" s="13"/>
      <c r="AM95" s="13" t="s">
        <v>38</v>
      </c>
      <c r="AN95" s="13"/>
      <c r="AO95" s="13"/>
      <c r="AP95" s="13" t="s">
        <v>38</v>
      </c>
      <c r="AQ95" s="13"/>
      <c r="AR95" s="13"/>
      <c r="AS95" s="13" t="s">
        <v>38</v>
      </c>
      <c r="AT95" s="13"/>
      <c r="AU95" s="13"/>
      <c r="AV95" s="13" t="s">
        <v>38</v>
      </c>
      <c r="AW95" s="13"/>
      <c r="AX95" s="13"/>
      <c r="AY95" s="13" t="s">
        <v>38</v>
      </c>
      <c r="AZ95" s="13"/>
      <c r="BA95" s="13"/>
      <c r="BB95" s="14">
        <f>SUM(BC95:BE95)</f>
      </c>
      <c r="BC95" s="14">
        <f>COUNTA(I95,L95,O95,R95,U95,X95,AA95,AD95,AG95,AJ95,AM95,AP95,AS95,AV95,AY95,J95,M95,P95,S95,V95,Y95,AB95,AE95,AH95,AK95,AN95,AQ95,AT95,AW95,AZ95)</f>
      </c>
      <c r="BD95" s="14">
        <v>0</v>
      </c>
      <c r="BE95" s="14">
        <f>COUNTA(K95,N95,Q95,T95,W95,Z95,AC95,AF95,AI95,AL95,AO95,AR95,AU95,AX95,BA95)</f>
      </c>
      <c r="BF95" s="8" t="s">
        <v>40</v>
      </c>
    </row>
    <row r="96" spans="2:58" x14ac:dyDescent="0.25">
      <c r="B96" s="8" t="s">
        <v>33</v>
      </c>
      <c r="C96" s="8" t="s">
        <v>221</v>
      </c>
      <c r="D96" s="9" t="s">
        <v>88</v>
      </c>
      <c r="E96" s="9" t="s">
        <v>252</v>
      </c>
      <c r="F96" s="8" t="s">
        <v>253</v>
      </c>
      <c r="G96" s="8" t="s">
        <v>38</v>
      </c>
      <c r="H96" s="10" t="s">
        <v>254</v>
      </c>
      <c r="I96" s="11" t="s">
        <v>38</v>
      </c>
      <c r="J96" s="11"/>
      <c r="K96" s="11"/>
      <c r="L96" s="11" t="s">
        <v>38</v>
      </c>
      <c r="M96" s="11"/>
      <c r="N96" s="11"/>
      <c r="O96" s="11" t="s">
        <v>38</v>
      </c>
      <c r="P96" s="11"/>
      <c r="Q96" s="11"/>
      <c r="R96" s="11" t="s">
        <v>38</v>
      </c>
      <c r="S96" s="11"/>
      <c r="T96" s="11"/>
      <c r="U96" s="11"/>
      <c r="V96" s="11" t="s">
        <v>38</v>
      </c>
      <c r="W96" s="11"/>
      <c r="X96" s="12" t="s">
        <v>38</v>
      </c>
      <c r="Y96" s="12"/>
      <c r="Z96" s="12"/>
      <c r="AA96" s="12" t="s">
        <v>38</v>
      </c>
      <c r="AB96" s="12"/>
      <c r="AC96" s="12"/>
      <c r="AD96" s="12" t="s">
        <v>38</v>
      </c>
      <c r="AE96" s="12"/>
      <c r="AF96" s="12"/>
      <c r="AG96" s="13" t="s">
        <v>38</v>
      </c>
      <c r="AH96" s="13"/>
      <c r="AI96" s="13"/>
      <c r="AJ96" s="13" t="s">
        <v>38</v>
      </c>
      <c r="AK96" s="13"/>
      <c r="AL96" s="13"/>
      <c r="AM96" s="13" t="s">
        <v>38</v>
      </c>
      <c r="AN96" s="13"/>
      <c r="AO96" s="13"/>
      <c r="AP96" s="13" t="s">
        <v>38</v>
      </c>
      <c r="AQ96" s="13"/>
      <c r="AR96" s="13"/>
      <c r="AS96" s="13" t="s">
        <v>38</v>
      </c>
      <c r="AT96" s="13"/>
      <c r="AU96" s="13"/>
      <c r="AV96" s="13" t="s">
        <v>38</v>
      </c>
      <c r="AW96" s="13"/>
      <c r="AX96" s="13"/>
      <c r="AY96" s="13" t="s">
        <v>38</v>
      </c>
      <c r="AZ96" s="13"/>
      <c r="BA96" s="13"/>
      <c r="BB96" s="14">
        <f>SUM(BC96:BE96)</f>
      </c>
      <c r="BC96" s="14">
        <f>COUNTA(I96,L96,O96,R96,U96,X96,AA96,AD96,AG96,AJ96,AM96,AP96,AS96,AV96,AY96,J96,M96,P96,S96,V96,Y96,AB96,AE96,AH96,AK96,AN96,AQ96,AT96,AW96,AZ96)</f>
      </c>
      <c r="BD96" s="14">
        <v>0</v>
      </c>
      <c r="BE96" s="14">
        <f>COUNTA(K96,N96,Q96,T96,W96,Z96,AC96,AF96,AI96,AL96,AO96,AR96,AU96,AX96,BA96)</f>
      </c>
      <c r="BF96" s="8" t="s">
        <v>40</v>
      </c>
    </row>
    <row r="97" spans="2:58" x14ac:dyDescent="0.25">
      <c r="B97" s="8" t="s">
        <v>33</v>
      </c>
      <c r="C97" s="8" t="s">
        <v>221</v>
      </c>
      <c r="D97" s="9" t="s">
        <v>151</v>
      </c>
      <c r="E97" s="9" t="s">
        <v>255</v>
      </c>
      <c r="F97" s="8" t="s">
        <v>256</v>
      </c>
      <c r="G97" s="8" t="s">
        <v>38</v>
      </c>
      <c r="H97" s="10" t="s">
        <v>139</v>
      </c>
      <c r="I97" s="11" t="s">
        <v>38</v>
      </c>
      <c r="J97" s="11"/>
      <c r="K97" s="11"/>
      <c r="L97" s="11" t="s">
        <v>38</v>
      </c>
      <c r="M97" s="11"/>
      <c r="N97" s="11"/>
      <c r="O97" s="11" t="s">
        <v>38</v>
      </c>
      <c r="P97" s="11"/>
      <c r="Q97" s="11"/>
      <c r="R97" s="11" t="s">
        <v>38</v>
      </c>
      <c r="S97" s="11"/>
      <c r="T97" s="11"/>
      <c r="U97" s="11" t="s">
        <v>38</v>
      </c>
      <c r="V97" s="11"/>
      <c r="W97" s="11"/>
      <c r="X97" s="12" t="s">
        <v>38</v>
      </c>
      <c r="Y97" s="12"/>
      <c r="Z97" s="12"/>
      <c r="AA97" s="12" t="s">
        <v>38</v>
      </c>
      <c r="AB97" s="12"/>
      <c r="AC97" s="12"/>
      <c r="AD97" s="12" t="s">
        <v>38</v>
      </c>
      <c r="AE97" s="12"/>
      <c r="AF97" s="12"/>
      <c r="AG97" s="13" t="s">
        <v>38</v>
      </c>
      <c r="AH97" s="13"/>
      <c r="AI97" s="13"/>
      <c r="AJ97" s="13" t="s">
        <v>38</v>
      </c>
      <c r="AK97" s="13"/>
      <c r="AL97" s="13"/>
      <c r="AM97" s="13" t="s">
        <v>38</v>
      </c>
      <c r="AN97" s="13"/>
      <c r="AO97" s="13"/>
      <c r="AP97" s="13" t="s">
        <v>38</v>
      </c>
      <c r="AQ97" s="13"/>
      <c r="AR97" s="13"/>
      <c r="AS97" s="13" t="s">
        <v>38</v>
      </c>
      <c r="AT97" s="13"/>
      <c r="AU97" s="13"/>
      <c r="AV97" s="13" t="s">
        <v>38</v>
      </c>
      <c r="AW97" s="13"/>
      <c r="AX97" s="13"/>
      <c r="AY97" s="13" t="s">
        <v>38</v>
      </c>
      <c r="AZ97" s="13"/>
      <c r="BA97" s="13"/>
      <c r="BB97" s="14">
        <f>SUM(BC97:BE97)</f>
      </c>
      <c r="BC97" s="14">
        <f>COUNTA(I97,L97,O97,R97,U97,X97,AA97,AD97,AG97,AJ97,AM97,AP97,AS97,AV97,AY97,J97,M97,P97,S97,V97,Y97,AB97,AE97,AH97,AK97,AN97,AQ97,AT97,AW97,AZ97)</f>
      </c>
      <c r="BD97" s="14">
        <v>0</v>
      </c>
      <c r="BE97" s="14">
        <f>COUNTA(K97,N97,Q97,T97,W97,Z97,AC97,AF97,AI97,AL97,AO97,AR97,AU97,AX97,BA97)</f>
      </c>
      <c r="BF97" s="8" t="s">
        <v>40</v>
      </c>
    </row>
    <row r="98" spans="2:58" x14ac:dyDescent="0.25">
      <c r="B98" s="8" t="s">
        <v>33</v>
      </c>
      <c r="C98" s="8" t="s">
        <v>221</v>
      </c>
      <c r="D98" s="9" t="s">
        <v>151</v>
      </c>
      <c r="E98" s="9" t="s">
        <v>257</v>
      </c>
      <c r="F98" s="8" t="s">
        <v>258</v>
      </c>
      <c r="G98" s="8" t="s">
        <v>38</v>
      </c>
      <c r="H98" s="10" t="s">
        <v>70</v>
      </c>
      <c r="I98" s="11" t="s">
        <v>38</v>
      </c>
      <c r="J98" s="11"/>
      <c r="K98" s="11"/>
      <c r="L98" s="11" t="s">
        <v>38</v>
      </c>
      <c r="M98" s="11"/>
      <c r="N98" s="11"/>
      <c r="O98" s="11" t="s">
        <v>38</v>
      </c>
      <c r="P98" s="11"/>
      <c r="Q98" s="11"/>
      <c r="R98" s="11" t="s">
        <v>38</v>
      </c>
      <c r="S98" s="11"/>
      <c r="T98" s="11"/>
      <c r="U98" s="11" t="s">
        <v>38</v>
      </c>
      <c r="V98" s="11"/>
      <c r="W98" s="11"/>
      <c r="X98" s="12"/>
      <c r="Y98" s="12" t="s">
        <v>38</v>
      </c>
      <c r="Z98" s="12"/>
      <c r="AA98" s="12"/>
      <c r="AB98" s="12" t="s">
        <v>38</v>
      </c>
      <c r="AC98" s="12"/>
      <c r="AD98" s="12" t="s">
        <v>38</v>
      </c>
      <c r="AE98" s="12"/>
      <c r="AF98" s="12"/>
      <c r="AG98" s="13" t="s">
        <v>38</v>
      </c>
      <c r="AH98" s="13"/>
      <c r="AI98" s="13"/>
      <c r="AJ98" s="13" t="s">
        <v>38</v>
      </c>
      <c r="AK98" s="13"/>
      <c r="AL98" s="13"/>
      <c r="AM98" s="13" t="s">
        <v>38</v>
      </c>
      <c r="AN98" s="13"/>
      <c r="AO98" s="13"/>
      <c r="AP98" s="13" t="s">
        <v>38</v>
      </c>
      <c r="AQ98" s="13"/>
      <c r="AR98" s="13"/>
      <c r="AS98" s="13" t="s">
        <v>38</v>
      </c>
      <c r="AT98" s="13"/>
      <c r="AU98" s="13"/>
      <c r="AV98" s="13" t="s">
        <v>38</v>
      </c>
      <c r="AW98" s="13"/>
      <c r="AX98" s="13"/>
      <c r="AY98" s="13" t="s">
        <v>38</v>
      </c>
      <c r="AZ98" s="13"/>
      <c r="BA98" s="13"/>
      <c r="BB98" s="14">
        <f>SUM(BC98:BE98)</f>
      </c>
      <c r="BC98" s="14">
        <f>COUNTA(I98,L98,O98,R98,U98,X98,AA98,AD98,AG98,AJ98,AM98,AP98,AS98,AV98,AY98,J98,M98,P98,S98,V98,Y98,AB98,AE98,AH98,AK98,AN98,AQ98,AT98,AW98,AZ98)</f>
      </c>
      <c r="BD98" s="14">
        <v>0</v>
      </c>
      <c r="BE98" s="14">
        <f>COUNTA(K98,N98,Q98,T98,W98,Z98,AC98,AF98,AI98,AL98,AO98,AR98,AU98,AX98,BA98)</f>
      </c>
      <c r="BF98" s="8" t="s">
        <v>40</v>
      </c>
    </row>
    <row r="99" spans="2:58" x14ac:dyDescent="0.25">
      <c r="B99" s="8" t="s">
        <v>33</v>
      </c>
      <c r="C99" s="8" t="s">
        <v>221</v>
      </c>
      <c r="D99" s="9" t="s">
        <v>151</v>
      </c>
      <c r="E99" s="9" t="s">
        <v>259</v>
      </c>
      <c r="F99" s="8" t="s">
        <v>260</v>
      </c>
      <c r="G99" s="8" t="s">
        <v>52</v>
      </c>
      <c r="H99" s="10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12"/>
      <c r="Z99" s="12"/>
      <c r="AA99" s="12"/>
      <c r="AB99" s="12"/>
      <c r="AC99" s="12"/>
      <c r="AD99" s="12"/>
      <c r="AE99" s="12"/>
      <c r="AF99" s="12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4">
        <f>SUM(BC99:BE99)</f>
      </c>
      <c r="BC99" s="14">
        <f>COUNTA(I99,L99,O99,R99,U99,X99,AA99,AD99,AG99,AJ99,AM99,AP99,AS99,AV99,AY99,J99,M99,P99,S99,V99,Y99,AB99,AE99,AH99,AK99,AN99,AQ99,AT99,AW99,AZ99)</f>
      </c>
      <c r="BD99" s="14">
        <v>0</v>
      </c>
      <c r="BE99" s="14">
        <f>COUNTA(K99,N99,Q99,T99,W99,Z99,AC99,AF99,AI99,AL99,AO99,AR99,AU99,AX99,BA99)</f>
      </c>
      <c r="BF99" s="8" t="s">
        <v>40</v>
      </c>
    </row>
    <row r="100" spans="2:58" x14ac:dyDescent="0.25">
      <c r="B100" s="8" t="s">
        <v>33</v>
      </c>
      <c r="C100" s="8" t="s">
        <v>221</v>
      </c>
      <c r="D100" s="9" t="s">
        <v>40</v>
      </c>
      <c r="E100" s="9" t="s">
        <v>261</v>
      </c>
      <c r="F100" s="8" t="s">
        <v>262</v>
      </c>
      <c r="G100" s="8" t="s">
        <v>52</v>
      </c>
      <c r="H100" s="10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12"/>
      <c r="Z100" s="12"/>
      <c r="AA100" s="12"/>
      <c r="AB100" s="12"/>
      <c r="AC100" s="12"/>
      <c r="AD100" s="12"/>
      <c r="AE100" s="12"/>
      <c r="AF100" s="12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4">
        <f>SUM(BC100:BE100)</f>
      </c>
      <c r="BC100" s="14">
        <f>COUNTA(I100,L100,O100,R100,U100,X100,AA100,AD100,AG100,AJ100,AM100,AP100,AS100,AV100,AY100,J100,M100,P100,S100,V100,Y100,AB100,AE100,AH100,AK100,AN100,AQ100,AT100,AW100,AZ100)</f>
      </c>
      <c r="BD100" s="14">
        <v>0</v>
      </c>
      <c r="BE100" s="14">
        <f>COUNTA(K100,N100,Q100,T100,W100,Z100,AC100,AF100,AI100,AL100,AO100,AR100,AU100,AX100,BA100)</f>
      </c>
      <c r="BF100" s="8" t="s">
        <v>40</v>
      </c>
    </row>
    <row r="101" spans="2:58" x14ac:dyDescent="0.25">
      <c r="B101" s="8" t="s">
        <v>33</v>
      </c>
      <c r="C101" s="8" t="s">
        <v>221</v>
      </c>
      <c r="D101" s="9" t="s">
        <v>40</v>
      </c>
      <c r="E101" s="9" t="s">
        <v>263</v>
      </c>
      <c r="F101" s="8" t="s">
        <v>264</v>
      </c>
      <c r="G101" s="8" t="s">
        <v>52</v>
      </c>
      <c r="H101" s="10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12"/>
      <c r="Z101" s="12"/>
      <c r="AA101" s="12"/>
      <c r="AB101" s="12"/>
      <c r="AC101" s="12"/>
      <c r="AD101" s="12"/>
      <c r="AE101" s="12"/>
      <c r="AF101" s="12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4">
        <f>SUM(BC101:BE101)</f>
      </c>
      <c r="BC101" s="14">
        <f>COUNTA(I101,L101,O101,R101,U101,X101,AA101,AD101,AG101,AJ101,AM101,AP101,AS101,AV101,AY101,J101,M101,P101,S101,V101,Y101,AB101,AE101,AH101,AK101,AN101,AQ101,AT101,AW101,AZ101)</f>
      </c>
      <c r="BD101" s="14">
        <v>0</v>
      </c>
      <c r="BE101" s="14">
        <f>COUNTA(K101,N101,Q101,T101,W101,Z101,AC101,AF101,AI101,AL101,AO101,AR101,AU101,AX101,BA101)</f>
      </c>
      <c r="BF101" s="8" t="s">
        <v>40</v>
      </c>
    </row>
    <row r="102" spans="2:58" x14ac:dyDescent="0.25">
      <c r="B102" s="8" t="s">
        <v>33</v>
      </c>
      <c r="C102" s="8" t="s">
        <v>265</v>
      </c>
      <c r="D102" s="9" t="s">
        <v>67</v>
      </c>
      <c r="E102" s="9" t="s">
        <v>266</v>
      </c>
      <c r="F102" s="8" t="s">
        <v>267</v>
      </c>
      <c r="G102" s="8" t="s">
        <v>38</v>
      </c>
      <c r="H102" s="10" t="s">
        <v>268</v>
      </c>
      <c r="I102" s="11" t="s">
        <v>38</v>
      </c>
      <c r="J102" s="11"/>
      <c r="K102" s="11"/>
      <c r="L102" s="11" t="s">
        <v>38</v>
      </c>
      <c r="M102" s="11"/>
      <c r="N102" s="11"/>
      <c r="O102" s="11" t="s">
        <v>38</v>
      </c>
      <c r="P102" s="11"/>
      <c r="Q102" s="11"/>
      <c r="R102" s="11" t="s">
        <v>38</v>
      </c>
      <c r="S102" s="11"/>
      <c r="T102" s="11"/>
      <c r="U102" s="11" t="s">
        <v>38</v>
      </c>
      <c r="V102" s="11"/>
      <c r="W102" s="11"/>
      <c r="X102" s="12" t="s">
        <v>38</v>
      </c>
      <c r="Y102" s="12"/>
      <c r="Z102" s="12"/>
      <c r="AA102" s="12" t="s">
        <v>38</v>
      </c>
      <c r="AB102" s="12"/>
      <c r="AC102" s="12"/>
      <c r="AD102" s="12" t="s">
        <v>38</v>
      </c>
      <c r="AE102" s="12"/>
      <c r="AF102" s="12"/>
      <c r="AG102" s="13" t="s">
        <v>38</v>
      </c>
      <c r="AH102" s="13"/>
      <c r="AI102" s="13"/>
      <c r="AJ102" s="13" t="s">
        <v>38</v>
      </c>
      <c r="AK102" s="13"/>
      <c r="AL102" s="13"/>
      <c r="AM102" s="13" t="s">
        <v>38</v>
      </c>
      <c r="AN102" s="13"/>
      <c r="AO102" s="13"/>
      <c r="AP102" s="13" t="s">
        <v>38</v>
      </c>
      <c r="AQ102" s="13"/>
      <c r="AR102" s="13"/>
      <c r="AS102" s="13" t="s">
        <v>38</v>
      </c>
      <c r="AT102" s="13"/>
      <c r="AU102" s="13"/>
      <c r="AV102" s="13" t="s">
        <v>38</v>
      </c>
      <c r="AW102" s="13"/>
      <c r="AX102" s="13"/>
      <c r="AY102" s="13" t="s">
        <v>38</v>
      </c>
      <c r="AZ102" s="13"/>
      <c r="BA102" s="13"/>
      <c r="BB102" s="14">
        <f>SUM(BC102:BE102)</f>
      </c>
      <c r="BC102" s="14">
        <f>COUNTA(I102,L102,O102,R102,U102,X102,AA102,AD102,AG102,AJ102,AM102,AP102,AS102,AV102,AY102,J102,M102,P102,S102,V102,Y102,AB102,AE102,AH102,AK102,AN102,AQ102,AT102,AW102,AZ102)</f>
      </c>
      <c r="BD102" s="14">
        <v>0</v>
      </c>
      <c r="BE102" s="14">
        <f>COUNTA(K102,N102,Q102,T102,W102,Z102,AC102,AF102,AI102,AL102,AO102,AR102,AU102,AX102,BA102)</f>
      </c>
      <c r="BF102" s="8" t="s">
        <v>40</v>
      </c>
    </row>
    <row r="103" spans="2:58" x14ac:dyDescent="0.25">
      <c r="B103" s="8" t="s">
        <v>33</v>
      </c>
      <c r="C103" s="8" t="s">
        <v>265</v>
      </c>
      <c r="D103" s="9" t="s">
        <v>67</v>
      </c>
      <c r="E103" s="9" t="s">
        <v>269</v>
      </c>
      <c r="F103" s="8" t="s">
        <v>270</v>
      </c>
      <c r="G103" s="8" t="s">
        <v>38</v>
      </c>
      <c r="H103" s="10" t="s">
        <v>185</v>
      </c>
      <c r="I103" s="11" t="s">
        <v>38</v>
      </c>
      <c r="J103" s="11"/>
      <c r="K103" s="11"/>
      <c r="L103" s="11" t="s">
        <v>38</v>
      </c>
      <c r="M103" s="11"/>
      <c r="N103" s="11"/>
      <c r="O103" s="11" t="s">
        <v>38</v>
      </c>
      <c r="P103" s="11"/>
      <c r="Q103" s="11"/>
      <c r="R103" s="11" t="s">
        <v>38</v>
      </c>
      <c r="S103" s="11"/>
      <c r="T103" s="11"/>
      <c r="U103" s="11" t="s">
        <v>38</v>
      </c>
      <c r="V103" s="11"/>
      <c r="W103" s="11"/>
      <c r="X103" s="12" t="s">
        <v>38</v>
      </c>
      <c r="Y103" s="12"/>
      <c r="Z103" s="12"/>
      <c r="AA103" s="12" t="s">
        <v>38</v>
      </c>
      <c r="AB103" s="12"/>
      <c r="AC103" s="12"/>
      <c r="AD103" s="12" t="s">
        <v>38</v>
      </c>
      <c r="AE103" s="12"/>
      <c r="AF103" s="12"/>
      <c r="AG103" s="13" t="s">
        <v>38</v>
      </c>
      <c r="AH103" s="13"/>
      <c r="AI103" s="13"/>
      <c r="AJ103" s="13" t="s">
        <v>38</v>
      </c>
      <c r="AK103" s="13"/>
      <c r="AL103" s="13"/>
      <c r="AM103" s="13" t="s">
        <v>38</v>
      </c>
      <c r="AN103" s="13"/>
      <c r="AO103" s="13"/>
      <c r="AP103" s="13" t="s">
        <v>38</v>
      </c>
      <c r="AQ103" s="13"/>
      <c r="AR103" s="13"/>
      <c r="AS103" s="13"/>
      <c r="AT103" s="13" t="s">
        <v>38</v>
      </c>
      <c r="AU103" s="13"/>
      <c r="AV103" s="13" t="s">
        <v>38</v>
      </c>
      <c r="AW103" s="13"/>
      <c r="AX103" s="13"/>
      <c r="AY103" s="13" t="s">
        <v>38</v>
      </c>
      <c r="AZ103" s="13"/>
      <c r="BA103" s="13"/>
      <c r="BB103" s="14">
        <f>SUM(BC103:BE103)</f>
      </c>
      <c r="BC103" s="14">
        <f>COUNTA(I103,L103,O103,R103,U103,X103,AA103,AD103,AG103,AJ103,AM103,AP103,AS103,AV103,AY103,J103,M103,P103,S103,V103,Y103,AB103,AE103,AH103,AK103,AN103,AQ103,AT103,AW103,AZ103)</f>
      </c>
      <c r="BD103" s="14">
        <v>0</v>
      </c>
      <c r="BE103" s="14">
        <f>COUNTA(K103,N103,Q103,T103,W103,Z103,AC103,AF103,AI103,AL103,AO103,AR103,AU103,AX103,BA103)</f>
      </c>
      <c r="BF103" s="8" t="s">
        <v>40</v>
      </c>
    </row>
    <row r="104" spans="2:58" x14ac:dyDescent="0.25">
      <c r="B104" s="8" t="s">
        <v>33</v>
      </c>
      <c r="C104" s="8" t="s">
        <v>265</v>
      </c>
      <c r="D104" s="9" t="s">
        <v>110</v>
      </c>
      <c r="E104" s="9" t="s">
        <v>271</v>
      </c>
      <c r="F104" s="8" t="s">
        <v>272</v>
      </c>
      <c r="G104" s="8" t="s">
        <v>52</v>
      </c>
      <c r="H104" s="10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12"/>
      <c r="Z104" s="12"/>
      <c r="AA104" s="12"/>
      <c r="AB104" s="12"/>
      <c r="AC104" s="12"/>
      <c r="AD104" s="12"/>
      <c r="AE104" s="12"/>
      <c r="AF104" s="12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4">
        <f>SUM(BC104:BE104)</f>
      </c>
      <c r="BC104" s="14">
        <f>COUNTA(I104,L104,O104,R104,U104,X104,AA104,AD104,AG104,AJ104,AM104,AP104,AS104,AV104,AY104,J104,M104,P104,S104,V104,Y104,AB104,AE104,AH104,AK104,AN104,AQ104,AT104,AW104,AZ104)</f>
      </c>
      <c r="BD104" s="14">
        <v>0</v>
      </c>
      <c r="BE104" s="14">
        <f>COUNTA(K104,N104,Q104,T104,W104,Z104,AC104,AF104,AI104,AL104,AO104,AR104,AU104,AX104,BA104)</f>
      </c>
      <c r="BF104" s="8" t="s">
        <v>40</v>
      </c>
    </row>
    <row r="105" spans="2:58" x14ac:dyDescent="0.25">
      <c r="B105" s="8" t="s">
        <v>33</v>
      </c>
      <c r="C105" s="8" t="s">
        <v>265</v>
      </c>
      <c r="D105" s="9" t="s">
        <v>110</v>
      </c>
      <c r="E105" s="9" t="s">
        <v>273</v>
      </c>
      <c r="F105" s="8" t="s">
        <v>274</v>
      </c>
      <c r="G105" s="8" t="s">
        <v>38</v>
      </c>
      <c r="H105" s="10" t="s">
        <v>159</v>
      </c>
      <c r="I105" s="11" t="s">
        <v>38</v>
      </c>
      <c r="J105" s="11"/>
      <c r="K105" s="11"/>
      <c r="L105" s="11" t="s">
        <v>38</v>
      </c>
      <c r="M105" s="11"/>
      <c r="N105" s="11"/>
      <c r="O105" s="11" t="s">
        <v>38</v>
      </c>
      <c r="P105" s="11"/>
      <c r="Q105" s="11"/>
      <c r="R105" s="11" t="s">
        <v>38</v>
      </c>
      <c r="S105" s="11"/>
      <c r="T105" s="11"/>
      <c r="U105" s="11" t="s">
        <v>38</v>
      </c>
      <c r="V105" s="11"/>
      <c r="W105" s="11"/>
      <c r="X105" s="12" t="s">
        <v>38</v>
      </c>
      <c r="Y105" s="12"/>
      <c r="Z105" s="12"/>
      <c r="AA105" s="12" t="s">
        <v>38</v>
      </c>
      <c r="AB105" s="12"/>
      <c r="AC105" s="12"/>
      <c r="AD105" s="12" t="s">
        <v>38</v>
      </c>
      <c r="AE105" s="12"/>
      <c r="AF105" s="12"/>
      <c r="AG105" s="13"/>
      <c r="AH105" s="13" t="s">
        <v>38</v>
      </c>
      <c r="AI105" s="13"/>
      <c r="AJ105" s="13" t="s">
        <v>38</v>
      </c>
      <c r="AK105" s="13"/>
      <c r="AL105" s="13"/>
      <c r="AM105" s="13" t="s">
        <v>38</v>
      </c>
      <c r="AN105" s="13"/>
      <c r="AO105" s="13"/>
      <c r="AP105" s="13" t="s">
        <v>38</v>
      </c>
      <c r="AQ105" s="13"/>
      <c r="AR105" s="13"/>
      <c r="AS105" s="13" t="s">
        <v>38</v>
      </c>
      <c r="AT105" s="13"/>
      <c r="AU105" s="13"/>
      <c r="AV105" s="13" t="s">
        <v>38</v>
      </c>
      <c r="AW105" s="13"/>
      <c r="AX105" s="13"/>
      <c r="AY105" s="13" t="s">
        <v>38</v>
      </c>
      <c r="AZ105" s="13"/>
      <c r="BA105" s="13"/>
      <c r="BB105" s="14">
        <f>SUM(BC105:BE105)</f>
      </c>
      <c r="BC105" s="14">
        <f>COUNTA(I105,L105,O105,R105,U105,X105,AA105,AD105,AG105,AJ105,AM105,AP105,AS105,AV105,AY105,J105,M105,P105,S105,V105,Y105,AB105,AE105,AH105,AK105,AN105,AQ105,AT105,AW105,AZ105)</f>
      </c>
      <c r="BD105" s="14">
        <v>0</v>
      </c>
      <c r="BE105" s="14">
        <f>COUNTA(K105,N105,Q105,T105,W105,Z105,AC105,AF105,AI105,AL105,AO105,AR105,AU105,AX105,BA105)</f>
      </c>
      <c r="BF105" s="8" t="s">
        <v>40</v>
      </c>
    </row>
    <row r="106" spans="2:58" x14ac:dyDescent="0.25">
      <c r="B106" s="8" t="s">
        <v>33</v>
      </c>
      <c r="C106" s="8" t="s">
        <v>265</v>
      </c>
      <c r="D106" s="9" t="s">
        <v>110</v>
      </c>
      <c r="E106" s="9" t="s">
        <v>275</v>
      </c>
      <c r="F106" s="8" t="s">
        <v>276</v>
      </c>
      <c r="G106" s="8" t="s">
        <v>38</v>
      </c>
      <c r="H106" s="10" t="s">
        <v>248</v>
      </c>
      <c r="I106" s="11" t="s">
        <v>38</v>
      </c>
      <c r="J106" s="11"/>
      <c r="K106" s="11"/>
      <c r="L106" s="11" t="s">
        <v>38</v>
      </c>
      <c r="M106" s="11"/>
      <c r="N106" s="11"/>
      <c r="O106" s="11" t="s">
        <v>38</v>
      </c>
      <c r="P106" s="11"/>
      <c r="Q106" s="11"/>
      <c r="R106" s="11"/>
      <c r="S106" s="11" t="s">
        <v>38</v>
      </c>
      <c r="T106" s="11"/>
      <c r="U106" s="11" t="s">
        <v>38</v>
      </c>
      <c r="V106" s="11"/>
      <c r="W106" s="11"/>
      <c r="X106" s="12" t="s">
        <v>38</v>
      </c>
      <c r="Y106" s="12"/>
      <c r="Z106" s="12"/>
      <c r="AA106" s="12" t="s">
        <v>38</v>
      </c>
      <c r="AB106" s="12"/>
      <c r="AC106" s="12"/>
      <c r="AD106" s="12" t="s">
        <v>38</v>
      </c>
      <c r="AE106" s="12"/>
      <c r="AF106" s="12"/>
      <c r="AG106" s="13" t="s">
        <v>38</v>
      </c>
      <c r="AH106" s="13"/>
      <c r="AI106" s="13"/>
      <c r="AJ106" s="13" t="s">
        <v>38</v>
      </c>
      <c r="AK106" s="13"/>
      <c r="AL106" s="13"/>
      <c r="AM106" s="13" t="s">
        <v>38</v>
      </c>
      <c r="AN106" s="13"/>
      <c r="AO106" s="13"/>
      <c r="AP106" s="13" t="s">
        <v>38</v>
      </c>
      <c r="AQ106" s="13"/>
      <c r="AR106" s="13"/>
      <c r="AS106" s="13"/>
      <c r="AT106" s="13" t="s">
        <v>38</v>
      </c>
      <c r="AU106" s="13"/>
      <c r="AV106" s="13" t="s">
        <v>38</v>
      </c>
      <c r="AW106" s="13"/>
      <c r="AX106" s="13"/>
      <c r="AY106" s="13" t="s">
        <v>38</v>
      </c>
      <c r="AZ106" s="13"/>
      <c r="BA106" s="13"/>
      <c r="BB106" s="14">
        <f>SUM(BC106:BE106)</f>
      </c>
      <c r="BC106" s="14">
        <f>COUNTA(I106,L106,O106,R106,U106,X106,AA106,AD106,AG106,AJ106,AM106,AP106,AS106,AV106,AY106,J106,M106,P106,S106,V106,Y106,AB106,AE106,AH106,AK106,AN106,AQ106,AT106,AW106,AZ106)</f>
      </c>
      <c r="BD106" s="14">
        <v>0</v>
      </c>
      <c r="BE106" s="14">
        <f>COUNTA(K106,N106,Q106,T106,W106,Z106,AC106,AF106,AI106,AL106,AO106,AR106,AU106,AX106,BA106)</f>
      </c>
      <c r="BF106" s="8" t="s">
        <v>40</v>
      </c>
    </row>
    <row r="107" spans="2:58" x14ac:dyDescent="0.25">
      <c r="B107" s="8" t="s">
        <v>33</v>
      </c>
      <c r="C107" s="8" t="s">
        <v>265</v>
      </c>
      <c r="D107" s="9" t="s">
        <v>151</v>
      </c>
      <c r="E107" s="9" t="s">
        <v>277</v>
      </c>
      <c r="F107" s="8" t="s">
        <v>278</v>
      </c>
      <c r="G107" s="8" t="s">
        <v>38</v>
      </c>
      <c r="H107" s="10" t="s">
        <v>279</v>
      </c>
      <c r="I107" s="11" t="s">
        <v>38</v>
      </c>
      <c r="J107" s="11"/>
      <c r="K107" s="11"/>
      <c r="L107" s="11" t="s">
        <v>38</v>
      </c>
      <c r="M107" s="11"/>
      <c r="N107" s="11"/>
      <c r="O107" s="11" t="s">
        <v>38</v>
      </c>
      <c r="P107" s="11"/>
      <c r="Q107" s="11"/>
      <c r="R107" s="11"/>
      <c r="S107" s="11" t="s">
        <v>38</v>
      </c>
      <c r="T107" s="11"/>
      <c r="U107" s="11" t="s">
        <v>38</v>
      </c>
      <c r="V107" s="11"/>
      <c r="W107" s="11"/>
      <c r="X107" s="12" t="s">
        <v>38</v>
      </c>
      <c r="Y107" s="12"/>
      <c r="Z107" s="12"/>
      <c r="AA107" s="12" t="s">
        <v>38</v>
      </c>
      <c r="AB107" s="12"/>
      <c r="AC107" s="12"/>
      <c r="AD107" s="12" t="s">
        <v>38</v>
      </c>
      <c r="AE107" s="12"/>
      <c r="AF107" s="12"/>
      <c r="AG107" s="13" t="s">
        <v>38</v>
      </c>
      <c r="AH107" s="13"/>
      <c r="AI107" s="13"/>
      <c r="AJ107" s="13" t="s">
        <v>38</v>
      </c>
      <c r="AK107" s="13"/>
      <c r="AL107" s="13"/>
      <c r="AM107" s="13" t="s">
        <v>38</v>
      </c>
      <c r="AN107" s="13"/>
      <c r="AO107" s="13"/>
      <c r="AP107" s="13" t="s">
        <v>38</v>
      </c>
      <c r="AQ107" s="13"/>
      <c r="AR107" s="13"/>
      <c r="AS107" s="13" t="s">
        <v>38</v>
      </c>
      <c r="AT107" s="13"/>
      <c r="AU107" s="13"/>
      <c r="AV107" s="13" t="s">
        <v>38</v>
      </c>
      <c r="AW107" s="13"/>
      <c r="AX107" s="13"/>
      <c r="AY107" s="13" t="s">
        <v>38</v>
      </c>
      <c r="AZ107" s="13"/>
      <c r="BA107" s="13"/>
      <c r="BB107" s="14">
        <f>SUM(BC107:BE107)</f>
      </c>
      <c r="BC107" s="14">
        <f>COUNTA(I107,L107,O107,R107,U107,X107,AA107,AD107,AG107,AJ107,AM107,AP107,AS107,AV107,AY107,J107,M107,P107,S107,V107,Y107,AB107,AE107,AH107,AK107,AN107,AQ107,AT107,AW107,AZ107)</f>
      </c>
      <c r="BD107" s="14">
        <v>0</v>
      </c>
      <c r="BE107" s="14">
        <f>COUNTA(K107,N107,Q107,T107,W107,Z107,AC107,AF107,AI107,AL107,AO107,AR107,AU107,AX107,BA107)</f>
      </c>
      <c r="BF107" s="8" t="s">
        <v>40</v>
      </c>
    </row>
    <row r="108" spans="2:58" x14ac:dyDescent="0.25">
      <c r="B108" s="8" t="s">
        <v>33</v>
      </c>
      <c r="C108" s="8" t="s">
        <v>265</v>
      </c>
      <c r="D108" s="9" t="s">
        <v>151</v>
      </c>
      <c r="E108" s="9" t="s">
        <v>280</v>
      </c>
      <c r="F108" s="8" t="s">
        <v>281</v>
      </c>
      <c r="G108" s="8" t="s">
        <v>38</v>
      </c>
      <c r="H108" s="10" t="s">
        <v>159</v>
      </c>
      <c r="I108" s="11"/>
      <c r="J108" s="11" t="s">
        <v>38</v>
      </c>
      <c r="K108" s="11"/>
      <c r="L108" s="11" t="s">
        <v>38</v>
      </c>
      <c r="M108" s="11"/>
      <c r="N108" s="11"/>
      <c r="O108" s="11" t="s">
        <v>38</v>
      </c>
      <c r="P108" s="11"/>
      <c r="Q108" s="11"/>
      <c r="R108" s="11" t="s">
        <v>38</v>
      </c>
      <c r="S108" s="11"/>
      <c r="T108" s="11"/>
      <c r="U108" s="11" t="s">
        <v>38</v>
      </c>
      <c r="V108" s="11"/>
      <c r="W108" s="11"/>
      <c r="X108" s="12" t="s">
        <v>38</v>
      </c>
      <c r="Y108" s="12"/>
      <c r="Z108" s="12"/>
      <c r="AA108" s="12" t="s">
        <v>38</v>
      </c>
      <c r="AB108" s="12"/>
      <c r="AC108" s="12"/>
      <c r="AD108" s="12"/>
      <c r="AE108" s="12" t="s">
        <v>38</v>
      </c>
      <c r="AF108" s="12"/>
      <c r="AG108" s="13" t="s">
        <v>38</v>
      </c>
      <c r="AH108" s="13"/>
      <c r="AI108" s="13"/>
      <c r="AJ108" s="13" t="s">
        <v>38</v>
      </c>
      <c r="AK108" s="13"/>
      <c r="AL108" s="13"/>
      <c r="AM108" s="13" t="s">
        <v>38</v>
      </c>
      <c r="AN108" s="13"/>
      <c r="AO108" s="13"/>
      <c r="AP108" s="13" t="s">
        <v>38</v>
      </c>
      <c r="AQ108" s="13"/>
      <c r="AR108" s="13"/>
      <c r="AS108" s="13" t="s">
        <v>38</v>
      </c>
      <c r="AT108" s="13"/>
      <c r="AU108" s="13"/>
      <c r="AV108" s="13" t="s">
        <v>38</v>
      </c>
      <c r="AW108" s="13"/>
      <c r="AX108" s="13"/>
      <c r="AY108" s="13" t="s">
        <v>38</v>
      </c>
      <c r="AZ108" s="13"/>
      <c r="BA108" s="13"/>
      <c r="BB108" s="14">
        <f>SUM(BC108:BE108)</f>
      </c>
      <c r="BC108" s="14">
        <f>COUNTA(I108,L108,O108,R108,U108,X108,AA108,AD108,AG108,AJ108,AM108,AP108,AS108,AV108,AY108,J108,M108,P108,S108,V108,Y108,AB108,AE108,AH108,AK108,AN108,AQ108,AT108,AW108,AZ108)</f>
      </c>
      <c r="BD108" s="14">
        <v>0</v>
      </c>
      <c r="BE108" s="14">
        <f>COUNTA(K108,N108,Q108,T108,W108,Z108,AC108,AF108,AI108,AL108,AO108,AR108,AU108,AX108,BA108)</f>
      </c>
      <c r="BF108" s="8" t="s">
        <v>40</v>
      </c>
    </row>
    <row r="109" spans="2:58" x14ac:dyDescent="0.25">
      <c r="B109" s="8" t="s">
        <v>33</v>
      </c>
      <c r="C109" s="8" t="s">
        <v>265</v>
      </c>
      <c r="D109" s="9" t="s">
        <v>40</v>
      </c>
      <c r="E109" s="9" t="s">
        <v>282</v>
      </c>
      <c r="F109" s="8" t="s">
        <v>281</v>
      </c>
      <c r="G109" s="8" t="s">
        <v>52</v>
      </c>
      <c r="H109" s="10" t="s">
        <v>268</v>
      </c>
      <c r="I109" s="11"/>
      <c r="J109" s="11" t="s">
        <v>38</v>
      </c>
      <c r="K109" s="11"/>
      <c r="L109" s="11" t="s">
        <v>38</v>
      </c>
      <c r="M109" s="11"/>
      <c r="N109" s="11"/>
      <c r="O109" s="11" t="s">
        <v>38</v>
      </c>
      <c r="P109" s="11"/>
      <c r="Q109" s="11"/>
      <c r="R109" s="11" t="s">
        <v>38</v>
      </c>
      <c r="S109" s="11"/>
      <c r="T109" s="11"/>
      <c r="U109" s="11" t="s">
        <v>38</v>
      </c>
      <c r="V109" s="11"/>
      <c r="W109" s="11"/>
      <c r="X109" s="12" t="s">
        <v>38</v>
      </c>
      <c r="Y109" s="12"/>
      <c r="Z109" s="12"/>
      <c r="AA109" s="12" t="s">
        <v>38</v>
      </c>
      <c r="AB109" s="12"/>
      <c r="AC109" s="12"/>
      <c r="AD109" s="12" t="s">
        <v>38</v>
      </c>
      <c r="AE109" s="12"/>
      <c r="AF109" s="12"/>
      <c r="AG109" s="13"/>
      <c r="AH109" s="13" t="s">
        <v>38</v>
      </c>
      <c r="AI109" s="13"/>
      <c r="AJ109" s="13"/>
      <c r="AK109" s="13" t="s">
        <v>38</v>
      </c>
      <c r="AL109" s="13"/>
      <c r="AM109" s="13" t="s">
        <v>38</v>
      </c>
      <c r="AN109" s="13"/>
      <c r="AO109" s="13"/>
      <c r="AP109" s="13" t="s">
        <v>38</v>
      </c>
      <c r="AQ109" s="13"/>
      <c r="AR109" s="13"/>
      <c r="AS109" s="13" t="s">
        <v>38</v>
      </c>
      <c r="AT109" s="13"/>
      <c r="AU109" s="13"/>
      <c r="AV109" s="13" t="s">
        <v>38</v>
      </c>
      <c r="AW109" s="13"/>
      <c r="AX109" s="13"/>
      <c r="AY109" s="13" t="s">
        <v>38</v>
      </c>
      <c r="AZ109" s="13"/>
      <c r="BA109" s="13"/>
      <c r="BB109" s="14">
        <f>SUM(BC109:BE109)</f>
      </c>
      <c r="BC109" s="14">
        <f>COUNTA(I109,L109,O109,R109,U109,X109,AA109,AD109,AG109,AJ109,AM109,AP109,AS109,AV109,AY109,J109,M109,P109,S109,V109,Y109,AB109,AE109,AH109,AK109,AN109,AQ109,AT109,AW109,AZ109)</f>
      </c>
      <c r="BD109" s="14">
        <v>0</v>
      </c>
      <c r="BE109" s="14">
        <f>COUNTA(K109,N109,Q109,T109,W109,Z109,AC109,AF109,AI109,AL109,AO109,AR109,AU109,AX109,BA109)</f>
      </c>
      <c r="BF109" s="8" t="s">
        <v>40</v>
      </c>
    </row>
    <row r="110" spans="2:58" x14ac:dyDescent="0.25">
      <c r="B110" s="8" t="s">
        <v>33</v>
      </c>
      <c r="C110" s="8" t="s">
        <v>283</v>
      </c>
      <c r="D110" s="9" t="s">
        <v>67</v>
      </c>
      <c r="E110" s="9" t="s">
        <v>284</v>
      </c>
      <c r="F110" s="8" t="s">
        <v>285</v>
      </c>
      <c r="G110" s="8" t="s">
        <v>38</v>
      </c>
      <c r="H110" s="10" t="s">
        <v>100</v>
      </c>
      <c r="I110" s="11" t="s">
        <v>38</v>
      </c>
      <c r="J110" s="11"/>
      <c r="K110" s="11"/>
      <c r="L110" s="11" t="s">
        <v>38</v>
      </c>
      <c r="M110" s="11"/>
      <c r="N110" s="11"/>
      <c r="O110" s="11" t="s">
        <v>38</v>
      </c>
      <c r="P110" s="11"/>
      <c r="Q110" s="11"/>
      <c r="R110" s="11" t="s">
        <v>38</v>
      </c>
      <c r="S110" s="11"/>
      <c r="T110" s="11"/>
      <c r="U110" s="11" t="s">
        <v>38</v>
      </c>
      <c r="V110" s="11"/>
      <c r="W110" s="11"/>
      <c r="X110" s="12" t="s">
        <v>38</v>
      </c>
      <c r="Y110" s="12"/>
      <c r="Z110" s="12"/>
      <c r="AA110" s="12" t="s">
        <v>38</v>
      </c>
      <c r="AB110" s="12"/>
      <c r="AC110" s="12"/>
      <c r="AD110" s="12" t="s">
        <v>38</v>
      </c>
      <c r="AE110" s="12"/>
      <c r="AF110" s="12"/>
      <c r="AG110" s="13" t="s">
        <v>38</v>
      </c>
      <c r="AH110" s="13"/>
      <c r="AI110" s="13"/>
      <c r="AJ110" s="13" t="s">
        <v>38</v>
      </c>
      <c r="AK110" s="13"/>
      <c r="AL110" s="13"/>
      <c r="AM110" s="13" t="s">
        <v>38</v>
      </c>
      <c r="AN110" s="13"/>
      <c r="AO110" s="13"/>
      <c r="AP110" s="13" t="s">
        <v>38</v>
      </c>
      <c r="AQ110" s="13"/>
      <c r="AR110" s="13"/>
      <c r="AS110" s="13" t="s">
        <v>38</v>
      </c>
      <c r="AT110" s="13"/>
      <c r="AU110" s="13"/>
      <c r="AV110" s="13" t="s">
        <v>38</v>
      </c>
      <c r="AW110" s="13"/>
      <c r="AX110" s="13"/>
      <c r="AY110" s="13" t="s">
        <v>38</v>
      </c>
      <c r="AZ110" s="13"/>
      <c r="BA110" s="13"/>
      <c r="BB110" s="14">
        <f>SUM(BC110:BE110)</f>
      </c>
      <c r="BC110" s="14">
        <f>COUNTA(I110,L110,O110,R110,U110,X110,AA110,AD110,AG110,AJ110,AM110,AP110,AS110,AV110,AY110,J110,M110,P110,S110,V110,Y110,AB110,AE110,AH110,AK110,AN110,AQ110,AT110,AW110,AZ110)</f>
      </c>
      <c r="BD110" s="14">
        <v>0</v>
      </c>
      <c r="BE110" s="14">
        <f>COUNTA(K110,N110,Q110,T110,W110,Z110,AC110,AF110,AI110,AL110,AO110,AR110,AU110,AX110,BA110)</f>
      </c>
      <c r="BF110" s="8" t="s">
        <v>40</v>
      </c>
    </row>
    <row r="111" spans="2:58" x14ac:dyDescent="0.25">
      <c r="B111" s="8" t="s">
        <v>33</v>
      </c>
      <c r="C111" s="8" t="s">
        <v>283</v>
      </c>
      <c r="D111" s="9" t="s">
        <v>67</v>
      </c>
      <c r="E111" s="9" t="s">
        <v>286</v>
      </c>
      <c r="F111" s="8" t="s">
        <v>287</v>
      </c>
      <c r="G111" s="8" t="s">
        <v>38</v>
      </c>
      <c r="H111" s="10" t="s">
        <v>288</v>
      </c>
      <c r="I111" s="11" t="s">
        <v>38</v>
      </c>
      <c r="J111" s="11"/>
      <c r="K111" s="11"/>
      <c r="L111" s="11" t="s">
        <v>38</v>
      </c>
      <c r="M111" s="11"/>
      <c r="N111" s="11"/>
      <c r="O111" s="11" t="s">
        <v>38</v>
      </c>
      <c r="P111" s="11"/>
      <c r="Q111" s="11"/>
      <c r="R111" s="11" t="s">
        <v>38</v>
      </c>
      <c r="S111" s="11"/>
      <c r="T111" s="11"/>
      <c r="U111" s="11" t="s">
        <v>38</v>
      </c>
      <c r="V111" s="11"/>
      <c r="W111" s="11"/>
      <c r="X111" s="12" t="s">
        <v>38</v>
      </c>
      <c r="Y111" s="12"/>
      <c r="Z111" s="12"/>
      <c r="AA111" s="12" t="s">
        <v>38</v>
      </c>
      <c r="AB111" s="12"/>
      <c r="AC111" s="12"/>
      <c r="AD111" s="12" t="s">
        <v>38</v>
      </c>
      <c r="AE111" s="12"/>
      <c r="AF111" s="12"/>
      <c r="AG111" s="13" t="s">
        <v>38</v>
      </c>
      <c r="AH111" s="13"/>
      <c r="AI111" s="13"/>
      <c r="AJ111" s="13" t="s">
        <v>38</v>
      </c>
      <c r="AK111" s="13"/>
      <c r="AL111" s="13"/>
      <c r="AM111" s="13" t="s">
        <v>38</v>
      </c>
      <c r="AN111" s="13"/>
      <c r="AO111" s="13"/>
      <c r="AP111" s="13" t="s">
        <v>38</v>
      </c>
      <c r="AQ111" s="13"/>
      <c r="AR111" s="13"/>
      <c r="AS111" s="13" t="s">
        <v>38</v>
      </c>
      <c r="AT111" s="13"/>
      <c r="AU111" s="13"/>
      <c r="AV111" s="13" t="s">
        <v>38</v>
      </c>
      <c r="AW111" s="13"/>
      <c r="AX111" s="13"/>
      <c r="AY111" s="13" t="s">
        <v>38</v>
      </c>
      <c r="AZ111" s="13"/>
      <c r="BA111" s="13"/>
      <c r="BB111" s="14">
        <f>SUM(BC111:BE111)</f>
      </c>
      <c r="BC111" s="14">
        <f>COUNTA(I111,L111,O111,R111,U111,X111,AA111,AD111,AG111,AJ111,AM111,AP111,AS111,AV111,AY111,J111,M111,P111,S111,V111,Y111,AB111,AE111,AH111,AK111,AN111,AQ111,AT111,AW111,AZ111)</f>
      </c>
      <c r="BD111" s="14">
        <v>0</v>
      </c>
      <c r="BE111" s="14">
        <f>COUNTA(K111,N111,Q111,T111,W111,Z111,AC111,AF111,AI111,AL111,AO111,AR111,AU111,AX111,BA111)</f>
      </c>
      <c r="BF111" s="8" t="s">
        <v>40</v>
      </c>
    </row>
    <row r="112" spans="2:58" x14ac:dyDescent="0.25">
      <c r="B112" s="8" t="s">
        <v>33</v>
      </c>
      <c r="C112" s="8" t="s">
        <v>283</v>
      </c>
      <c r="D112" s="9" t="s">
        <v>110</v>
      </c>
      <c r="E112" s="9" t="s">
        <v>289</v>
      </c>
      <c r="F112" s="8" t="s">
        <v>290</v>
      </c>
      <c r="G112" s="8" t="s">
        <v>38</v>
      </c>
      <c r="H112" s="10" t="s">
        <v>288</v>
      </c>
      <c r="I112" s="11" t="s">
        <v>38</v>
      </c>
      <c r="J112" s="11"/>
      <c r="K112" s="11"/>
      <c r="L112" s="11" t="s">
        <v>38</v>
      </c>
      <c r="M112" s="11"/>
      <c r="N112" s="11"/>
      <c r="O112" s="11" t="s">
        <v>38</v>
      </c>
      <c r="P112" s="11"/>
      <c r="Q112" s="11"/>
      <c r="R112" s="11" t="s">
        <v>38</v>
      </c>
      <c r="S112" s="11"/>
      <c r="T112" s="11"/>
      <c r="U112" s="11" t="s">
        <v>38</v>
      </c>
      <c r="V112" s="11"/>
      <c r="W112" s="11"/>
      <c r="X112" s="12" t="s">
        <v>38</v>
      </c>
      <c r="Y112" s="12"/>
      <c r="Z112" s="12"/>
      <c r="AA112" s="12" t="s">
        <v>38</v>
      </c>
      <c r="AB112" s="12"/>
      <c r="AC112" s="12"/>
      <c r="AD112" s="12" t="s">
        <v>38</v>
      </c>
      <c r="AE112" s="12"/>
      <c r="AF112" s="12"/>
      <c r="AG112" s="13" t="s">
        <v>38</v>
      </c>
      <c r="AH112" s="13"/>
      <c r="AI112" s="13"/>
      <c r="AJ112" s="13" t="s">
        <v>38</v>
      </c>
      <c r="AK112" s="13"/>
      <c r="AL112" s="13"/>
      <c r="AM112" s="13" t="s">
        <v>38</v>
      </c>
      <c r="AN112" s="13"/>
      <c r="AO112" s="13"/>
      <c r="AP112" s="13" t="s">
        <v>38</v>
      </c>
      <c r="AQ112" s="13"/>
      <c r="AR112" s="13"/>
      <c r="AS112" s="13" t="s">
        <v>38</v>
      </c>
      <c r="AT112" s="13"/>
      <c r="AU112" s="13"/>
      <c r="AV112" s="13" t="s">
        <v>38</v>
      </c>
      <c r="AW112" s="13"/>
      <c r="AX112" s="13"/>
      <c r="AY112" s="13" t="s">
        <v>38</v>
      </c>
      <c r="AZ112" s="13"/>
      <c r="BA112" s="13"/>
      <c r="BB112" s="14">
        <f>SUM(BC112:BE112)</f>
      </c>
      <c r="BC112" s="14">
        <f>COUNTA(I112,L112,O112,R112,U112,X112,AA112,AD112,AG112,AJ112,AM112,AP112,AS112,AV112,AY112,J112,M112,P112,S112,V112,Y112,AB112,AE112,AH112,AK112,AN112,AQ112,AT112,AW112,AZ112)</f>
      </c>
      <c r="BD112" s="14">
        <v>0</v>
      </c>
      <c r="BE112" s="14">
        <f>COUNTA(K112,N112,Q112,T112,W112,Z112,AC112,AF112,AI112,AL112,AO112,AR112,AU112,AX112,BA112)</f>
      </c>
      <c r="BF112" s="8" t="s">
        <v>40</v>
      </c>
    </row>
    <row r="113" spans="2:58" x14ac:dyDescent="0.25">
      <c r="B113" s="8" t="s">
        <v>33</v>
      </c>
      <c r="C113" s="8" t="s">
        <v>283</v>
      </c>
      <c r="D113" s="9" t="s">
        <v>110</v>
      </c>
      <c r="E113" s="9" t="s">
        <v>291</v>
      </c>
      <c r="F113" s="8" t="s">
        <v>292</v>
      </c>
      <c r="G113" s="8" t="s">
        <v>38</v>
      </c>
      <c r="H113" s="10" t="s">
        <v>115</v>
      </c>
      <c r="I113" s="11" t="s">
        <v>38</v>
      </c>
      <c r="J113" s="11"/>
      <c r="K113" s="11"/>
      <c r="L113" s="11" t="s">
        <v>38</v>
      </c>
      <c r="M113" s="11"/>
      <c r="N113" s="11"/>
      <c r="O113" s="11" t="s">
        <v>38</v>
      </c>
      <c r="P113" s="11"/>
      <c r="Q113" s="11"/>
      <c r="R113" s="11" t="s">
        <v>38</v>
      </c>
      <c r="S113" s="11"/>
      <c r="T113" s="11"/>
      <c r="U113" s="11" t="s">
        <v>38</v>
      </c>
      <c r="V113" s="11"/>
      <c r="W113" s="11"/>
      <c r="X113" s="12" t="s">
        <v>38</v>
      </c>
      <c r="Y113" s="12"/>
      <c r="Z113" s="12"/>
      <c r="AA113" s="12" t="s">
        <v>38</v>
      </c>
      <c r="AB113" s="12"/>
      <c r="AC113" s="12"/>
      <c r="AD113" s="12" t="s">
        <v>38</v>
      </c>
      <c r="AE113" s="12"/>
      <c r="AF113" s="12"/>
      <c r="AG113" s="13" t="s">
        <v>38</v>
      </c>
      <c r="AH113" s="13"/>
      <c r="AI113" s="13"/>
      <c r="AJ113" s="13" t="s">
        <v>38</v>
      </c>
      <c r="AK113" s="13"/>
      <c r="AL113" s="13"/>
      <c r="AM113" s="13" t="s">
        <v>38</v>
      </c>
      <c r="AN113" s="13"/>
      <c r="AO113" s="13"/>
      <c r="AP113" s="13" t="s">
        <v>38</v>
      </c>
      <c r="AQ113" s="13"/>
      <c r="AR113" s="13"/>
      <c r="AS113" s="13" t="s">
        <v>38</v>
      </c>
      <c r="AT113" s="13"/>
      <c r="AU113" s="13"/>
      <c r="AV113" s="13" t="s">
        <v>38</v>
      </c>
      <c r="AW113" s="13"/>
      <c r="AX113" s="13"/>
      <c r="AY113" s="13" t="s">
        <v>38</v>
      </c>
      <c r="AZ113" s="13"/>
      <c r="BA113" s="13"/>
      <c r="BB113" s="14">
        <f>SUM(BC113:BE113)</f>
      </c>
      <c r="BC113" s="14">
        <f>COUNTA(I113,L113,O113,R113,U113,X113,AA113,AD113,AG113,AJ113,AM113,AP113,AS113,AV113,AY113,J113,M113,P113,S113,V113,Y113,AB113,AE113,AH113,AK113,AN113,AQ113,AT113,AW113,AZ113)</f>
      </c>
      <c r="BD113" s="14">
        <v>0</v>
      </c>
      <c r="BE113" s="14">
        <f>COUNTA(K113,N113,Q113,T113,W113,Z113,AC113,AF113,AI113,AL113,AO113,AR113,AU113,AX113,BA113)</f>
      </c>
      <c r="BF113" s="8" t="s">
        <v>40</v>
      </c>
    </row>
    <row r="114" spans="2:58" x14ac:dyDescent="0.25">
      <c r="B114" s="8" t="s">
        <v>33</v>
      </c>
      <c r="C114" s="8" t="s">
        <v>283</v>
      </c>
      <c r="D114" s="9" t="s">
        <v>110</v>
      </c>
      <c r="E114" s="9" t="s">
        <v>293</v>
      </c>
      <c r="F114" s="8" t="s">
        <v>294</v>
      </c>
      <c r="G114" s="8" t="s">
        <v>52</v>
      </c>
      <c r="H114" s="10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12"/>
      <c r="Z114" s="12"/>
      <c r="AA114" s="12"/>
      <c r="AB114" s="12"/>
      <c r="AC114" s="12"/>
      <c r="AD114" s="12"/>
      <c r="AE114" s="12"/>
      <c r="AF114" s="12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4">
        <f>SUM(BC114:BE114)</f>
      </c>
      <c r="BC114" s="14">
        <f>COUNTA(I114,L114,O114,R114,U114,X114,AA114,AD114,AG114,AJ114,AM114,AP114,AS114,AV114,AY114,J114,M114,P114,S114,V114,Y114,AB114,AE114,AH114,AK114,AN114,AQ114,AT114,AW114,AZ114)</f>
      </c>
      <c r="BD114" s="14">
        <v>0</v>
      </c>
      <c r="BE114" s="14">
        <f>COUNTA(K114,N114,Q114,T114,W114,Z114,AC114,AF114,AI114,AL114,AO114,AR114,AU114,AX114,BA114)</f>
      </c>
      <c r="BF114" s="8" t="s">
        <v>40</v>
      </c>
    </row>
    <row r="115" spans="2:58" x14ac:dyDescent="0.25">
      <c r="B115" s="8" t="s">
        <v>33</v>
      </c>
      <c r="C115" s="8" t="s">
        <v>283</v>
      </c>
      <c r="D115" s="9" t="s">
        <v>110</v>
      </c>
      <c r="E115" s="9" t="s">
        <v>295</v>
      </c>
      <c r="F115" s="8" t="s">
        <v>296</v>
      </c>
      <c r="G115" s="8" t="s">
        <v>38</v>
      </c>
      <c r="H115" s="10" t="s">
        <v>100</v>
      </c>
      <c r="I115" s="11" t="s">
        <v>38</v>
      </c>
      <c r="J115" s="11"/>
      <c r="K115" s="11"/>
      <c r="L115" s="11" t="s">
        <v>38</v>
      </c>
      <c r="M115" s="11"/>
      <c r="N115" s="11"/>
      <c r="O115" s="11" t="s">
        <v>38</v>
      </c>
      <c r="P115" s="11"/>
      <c r="Q115" s="11"/>
      <c r="R115" s="11" t="s">
        <v>38</v>
      </c>
      <c r="S115" s="11"/>
      <c r="T115" s="11"/>
      <c r="U115" s="11" t="s">
        <v>38</v>
      </c>
      <c r="V115" s="11"/>
      <c r="W115" s="11"/>
      <c r="X115" s="12" t="s">
        <v>38</v>
      </c>
      <c r="Y115" s="12"/>
      <c r="Z115" s="12"/>
      <c r="AA115" s="12" t="s">
        <v>38</v>
      </c>
      <c r="AB115" s="12"/>
      <c r="AC115" s="12"/>
      <c r="AD115" s="12" t="s">
        <v>38</v>
      </c>
      <c r="AE115" s="12"/>
      <c r="AF115" s="12"/>
      <c r="AG115" s="13" t="s">
        <v>38</v>
      </c>
      <c r="AH115" s="13"/>
      <c r="AI115" s="13"/>
      <c r="AJ115" s="13" t="s">
        <v>38</v>
      </c>
      <c r="AK115" s="13"/>
      <c r="AL115" s="13"/>
      <c r="AM115" s="13" t="s">
        <v>38</v>
      </c>
      <c r="AN115" s="13"/>
      <c r="AO115" s="13"/>
      <c r="AP115" s="13" t="s">
        <v>38</v>
      </c>
      <c r="AQ115" s="13"/>
      <c r="AR115" s="13"/>
      <c r="AS115" s="13" t="s">
        <v>38</v>
      </c>
      <c r="AT115" s="13"/>
      <c r="AU115" s="13"/>
      <c r="AV115" s="13" t="s">
        <v>38</v>
      </c>
      <c r="AW115" s="13"/>
      <c r="AX115" s="13"/>
      <c r="AY115" s="13" t="s">
        <v>38</v>
      </c>
      <c r="AZ115" s="13"/>
      <c r="BA115" s="13"/>
      <c r="BB115" s="14">
        <f>SUM(BC115:BE115)</f>
      </c>
      <c r="BC115" s="14">
        <f>COUNTA(I115,L115,O115,R115,U115,X115,AA115,AD115,AG115,AJ115,AM115,AP115,AS115,AV115,AY115,J115,M115,P115,S115,V115,Y115,AB115,AE115,AH115,AK115,AN115,AQ115,AT115,AW115,AZ115)</f>
      </c>
      <c r="BD115" s="14">
        <v>0</v>
      </c>
      <c r="BE115" s="14">
        <f>COUNTA(K115,N115,Q115,T115,W115,Z115,AC115,AF115,AI115,AL115,AO115,AR115,AU115,AX115,BA115)</f>
      </c>
      <c r="BF115" s="8" t="s">
        <v>40</v>
      </c>
    </row>
    <row r="116" spans="2:58" x14ac:dyDescent="0.25">
      <c r="B116" s="8" t="s">
        <v>33</v>
      </c>
      <c r="C116" s="8" t="s">
        <v>283</v>
      </c>
      <c r="D116" s="9" t="s">
        <v>110</v>
      </c>
      <c r="E116" s="9" t="s">
        <v>297</v>
      </c>
      <c r="F116" s="8" t="s">
        <v>298</v>
      </c>
      <c r="G116" s="8" t="s">
        <v>38</v>
      </c>
      <c r="H116" s="10" t="s">
        <v>299</v>
      </c>
      <c r="I116" s="11" t="s">
        <v>38</v>
      </c>
      <c r="J116" s="11"/>
      <c r="K116" s="11"/>
      <c r="L116" s="11" t="s">
        <v>38</v>
      </c>
      <c r="M116" s="11"/>
      <c r="N116" s="11"/>
      <c r="O116" s="11" t="s">
        <v>38</v>
      </c>
      <c r="P116" s="11"/>
      <c r="Q116" s="11"/>
      <c r="R116" s="11" t="s">
        <v>38</v>
      </c>
      <c r="S116" s="11"/>
      <c r="T116" s="11"/>
      <c r="U116" s="11" t="s">
        <v>38</v>
      </c>
      <c r="V116" s="11"/>
      <c r="W116" s="11"/>
      <c r="X116" s="12" t="s">
        <v>38</v>
      </c>
      <c r="Y116" s="12"/>
      <c r="Z116" s="12"/>
      <c r="AA116" s="12" t="s">
        <v>38</v>
      </c>
      <c r="AB116" s="12"/>
      <c r="AC116" s="12"/>
      <c r="AD116" s="12" t="s">
        <v>38</v>
      </c>
      <c r="AE116" s="12"/>
      <c r="AF116" s="12"/>
      <c r="AG116" s="13" t="s">
        <v>38</v>
      </c>
      <c r="AH116" s="13"/>
      <c r="AI116" s="13"/>
      <c r="AJ116" s="13" t="s">
        <v>38</v>
      </c>
      <c r="AK116" s="13"/>
      <c r="AL116" s="13"/>
      <c r="AM116" s="13" t="s">
        <v>38</v>
      </c>
      <c r="AN116" s="13"/>
      <c r="AO116" s="13"/>
      <c r="AP116" s="13" t="s">
        <v>38</v>
      </c>
      <c r="AQ116" s="13"/>
      <c r="AR116" s="13"/>
      <c r="AS116" s="13" t="s">
        <v>38</v>
      </c>
      <c r="AT116" s="13"/>
      <c r="AU116" s="13"/>
      <c r="AV116" s="13" t="s">
        <v>38</v>
      </c>
      <c r="AW116" s="13"/>
      <c r="AX116" s="13"/>
      <c r="AY116" s="13" t="s">
        <v>38</v>
      </c>
      <c r="AZ116" s="13"/>
      <c r="BA116" s="13"/>
      <c r="BB116" s="14">
        <f>SUM(BC116:BE116)</f>
      </c>
      <c r="BC116" s="14">
        <f>COUNTA(I116,L116,O116,R116,U116,X116,AA116,AD116,AG116,AJ116,AM116,AP116,AS116,AV116,AY116,J116,M116,P116,S116,V116,Y116,AB116,AE116,AH116,AK116,AN116,AQ116,AT116,AW116,AZ116)</f>
      </c>
      <c r="BD116" s="14">
        <v>0</v>
      </c>
      <c r="BE116" s="14">
        <f>COUNTA(K116,N116,Q116,T116,W116,Z116,AC116,AF116,AI116,AL116,AO116,AR116,AU116,AX116,BA116)</f>
      </c>
      <c r="BF116" s="8" t="s">
        <v>40</v>
      </c>
    </row>
    <row r="117" spans="2:58" x14ac:dyDescent="0.25">
      <c r="B117" s="8" t="s">
        <v>33</v>
      </c>
      <c r="C117" s="8" t="s">
        <v>283</v>
      </c>
      <c r="D117" s="9" t="s">
        <v>110</v>
      </c>
      <c r="E117" s="9" t="s">
        <v>300</v>
      </c>
      <c r="F117" s="8" t="s">
        <v>301</v>
      </c>
      <c r="G117" s="8" t="s">
        <v>52</v>
      </c>
      <c r="H117" s="10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12"/>
      <c r="Z117" s="12"/>
      <c r="AA117" s="12"/>
      <c r="AB117" s="12"/>
      <c r="AC117" s="12"/>
      <c r="AD117" s="12"/>
      <c r="AE117" s="12"/>
      <c r="AF117" s="12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4">
        <f>SUM(BC117:BE117)</f>
      </c>
      <c r="BC117" s="14">
        <f>COUNTA(I117,L117,O117,R117,U117,X117,AA117,AD117,AG117,AJ117,AM117,AP117,AS117,AV117,AY117,J117,M117,P117,S117,V117,Y117,AB117,AE117,AH117,AK117,AN117,AQ117,AT117,AW117,AZ117)</f>
      </c>
      <c r="BD117" s="14">
        <v>0</v>
      </c>
      <c r="BE117" s="14">
        <f>COUNTA(K117,N117,Q117,T117,W117,Z117,AC117,AF117,AI117,AL117,AO117,AR117,AU117,AX117,BA117)</f>
      </c>
      <c r="BF117" s="8" t="s">
        <v>40</v>
      </c>
    </row>
    <row r="118" spans="2:58" x14ac:dyDescent="0.25">
      <c r="B118" s="8" t="s">
        <v>33</v>
      </c>
      <c r="C118" s="8" t="s">
        <v>283</v>
      </c>
      <c r="D118" s="9" t="s">
        <v>110</v>
      </c>
      <c r="E118" s="9" t="s">
        <v>302</v>
      </c>
      <c r="F118" s="8" t="s">
        <v>303</v>
      </c>
      <c r="G118" s="8" t="s">
        <v>52</v>
      </c>
      <c r="H118" s="10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12"/>
      <c r="Z118" s="12"/>
      <c r="AA118" s="12"/>
      <c r="AB118" s="12"/>
      <c r="AC118" s="12"/>
      <c r="AD118" s="12"/>
      <c r="AE118" s="12"/>
      <c r="AF118" s="12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4">
        <f>SUM(BC118:BE118)</f>
      </c>
      <c r="BC118" s="14">
        <f>COUNTA(I118,L118,O118,R118,U118,X118,AA118,AD118,AG118,AJ118,AM118,AP118,AS118,AV118,AY118,J118,M118,P118,S118,V118,Y118,AB118,AE118,AH118,AK118,AN118,AQ118,AT118,AW118,AZ118)</f>
      </c>
      <c r="BD118" s="14">
        <v>0</v>
      </c>
      <c r="BE118" s="14">
        <f>COUNTA(K118,N118,Q118,T118,W118,Z118,AC118,AF118,AI118,AL118,AO118,AR118,AU118,AX118,BA118)</f>
      </c>
      <c r="BF118" s="8" t="s">
        <v>40</v>
      </c>
    </row>
    <row r="119" spans="2:58" x14ac:dyDescent="0.25">
      <c r="B119" s="8" t="s">
        <v>33</v>
      </c>
      <c r="C119" s="8" t="s">
        <v>283</v>
      </c>
      <c r="D119" s="9" t="s">
        <v>110</v>
      </c>
      <c r="E119" s="9" t="s">
        <v>304</v>
      </c>
      <c r="F119" s="8" t="s">
        <v>305</v>
      </c>
      <c r="G119" s="8" t="s">
        <v>38</v>
      </c>
      <c r="H119" s="10" t="s">
        <v>100</v>
      </c>
      <c r="I119" s="11" t="s">
        <v>38</v>
      </c>
      <c r="J119" s="11"/>
      <c r="K119" s="11"/>
      <c r="L119" s="11" t="s">
        <v>38</v>
      </c>
      <c r="M119" s="11"/>
      <c r="N119" s="11"/>
      <c r="O119" s="11" t="s">
        <v>38</v>
      </c>
      <c r="P119" s="11"/>
      <c r="Q119" s="11"/>
      <c r="R119" s="11" t="s">
        <v>38</v>
      </c>
      <c r="S119" s="11"/>
      <c r="T119" s="11"/>
      <c r="U119" s="11" t="s">
        <v>38</v>
      </c>
      <c r="V119" s="11"/>
      <c r="W119" s="11"/>
      <c r="X119" s="12" t="s">
        <v>38</v>
      </c>
      <c r="Y119" s="12"/>
      <c r="Z119" s="12"/>
      <c r="AA119" s="12" t="s">
        <v>38</v>
      </c>
      <c r="AB119" s="12"/>
      <c r="AC119" s="12"/>
      <c r="AD119" s="12"/>
      <c r="AE119" s="12" t="s">
        <v>38</v>
      </c>
      <c r="AF119" s="12"/>
      <c r="AG119" s="13" t="s">
        <v>38</v>
      </c>
      <c r="AH119" s="13"/>
      <c r="AI119" s="13"/>
      <c r="AJ119" s="13" t="s">
        <v>38</v>
      </c>
      <c r="AK119" s="13"/>
      <c r="AL119" s="13"/>
      <c r="AM119" s="13" t="s">
        <v>38</v>
      </c>
      <c r="AN119" s="13"/>
      <c r="AO119" s="13"/>
      <c r="AP119" s="13" t="s">
        <v>38</v>
      </c>
      <c r="AQ119" s="13"/>
      <c r="AR119" s="13"/>
      <c r="AS119" s="13" t="s">
        <v>38</v>
      </c>
      <c r="AT119" s="13"/>
      <c r="AU119" s="13"/>
      <c r="AV119" s="13" t="s">
        <v>38</v>
      </c>
      <c r="AW119" s="13"/>
      <c r="AX119" s="13"/>
      <c r="AY119" s="13" t="s">
        <v>38</v>
      </c>
      <c r="AZ119" s="13"/>
      <c r="BA119" s="13"/>
      <c r="BB119" s="14">
        <f>SUM(BC119:BE119)</f>
      </c>
      <c r="BC119" s="14">
        <f>COUNTA(I119,L119,O119,R119,U119,X119,AA119,AD119,AG119,AJ119,AM119,AP119,AS119,AV119,AY119,J119,M119,P119,S119,V119,Y119,AB119,AE119,AH119,AK119,AN119,AQ119,AT119,AW119,AZ119)</f>
      </c>
      <c r="BD119" s="14">
        <v>0</v>
      </c>
      <c r="BE119" s="14">
        <f>COUNTA(K119,N119,Q119,T119,W119,Z119,AC119,AF119,AI119,AL119,AO119,AR119,AU119,AX119,BA119)</f>
      </c>
      <c r="BF119" s="8" t="s">
        <v>40</v>
      </c>
    </row>
    <row r="120" spans="2:58" x14ac:dyDescent="0.25">
      <c r="B120" s="8" t="s">
        <v>33</v>
      </c>
      <c r="C120" s="8" t="s">
        <v>283</v>
      </c>
      <c r="D120" s="9" t="s">
        <v>88</v>
      </c>
      <c r="E120" s="9" t="s">
        <v>306</v>
      </c>
      <c r="F120" s="8" t="s">
        <v>307</v>
      </c>
      <c r="G120" s="8" t="s">
        <v>38</v>
      </c>
      <c r="H120" s="10" t="s">
        <v>308</v>
      </c>
      <c r="I120" s="11" t="s">
        <v>38</v>
      </c>
      <c r="J120" s="11"/>
      <c r="K120" s="11"/>
      <c r="L120" s="11" t="s">
        <v>38</v>
      </c>
      <c r="M120" s="11"/>
      <c r="N120" s="11"/>
      <c r="O120" s="11" t="s">
        <v>38</v>
      </c>
      <c r="P120" s="11"/>
      <c r="Q120" s="11"/>
      <c r="R120" s="11" t="s">
        <v>38</v>
      </c>
      <c r="S120" s="11"/>
      <c r="T120" s="11"/>
      <c r="U120" s="11" t="s">
        <v>38</v>
      </c>
      <c r="V120" s="11"/>
      <c r="W120" s="11"/>
      <c r="X120" s="12" t="s">
        <v>38</v>
      </c>
      <c r="Y120" s="12"/>
      <c r="Z120" s="12"/>
      <c r="AA120" s="12" t="s">
        <v>38</v>
      </c>
      <c r="AB120" s="12"/>
      <c r="AC120" s="12"/>
      <c r="AD120" s="12" t="s">
        <v>38</v>
      </c>
      <c r="AE120" s="12"/>
      <c r="AF120" s="12"/>
      <c r="AG120" s="13" t="s">
        <v>38</v>
      </c>
      <c r="AH120" s="13"/>
      <c r="AI120" s="13"/>
      <c r="AJ120" s="13" t="s">
        <v>38</v>
      </c>
      <c r="AK120" s="13"/>
      <c r="AL120" s="13"/>
      <c r="AM120" s="13" t="s">
        <v>38</v>
      </c>
      <c r="AN120" s="13"/>
      <c r="AO120" s="13"/>
      <c r="AP120" s="13" t="s">
        <v>38</v>
      </c>
      <c r="AQ120" s="13"/>
      <c r="AR120" s="13"/>
      <c r="AS120" s="13" t="s">
        <v>38</v>
      </c>
      <c r="AT120" s="13"/>
      <c r="AU120" s="13"/>
      <c r="AV120" s="13" t="s">
        <v>38</v>
      </c>
      <c r="AW120" s="13"/>
      <c r="AX120" s="13"/>
      <c r="AY120" s="13"/>
      <c r="AZ120" s="13" t="s">
        <v>38</v>
      </c>
      <c r="BA120" s="13"/>
      <c r="BB120" s="14">
        <f>SUM(BC120:BE120)</f>
      </c>
      <c r="BC120" s="14">
        <f>COUNTA(I120,L120,O120,R120,U120,X120,AA120,AD120,AG120,AJ120,AM120,AP120,AS120,AV120,AY120,J120,M120,P120,S120,V120,Y120,AB120,AE120,AH120,AK120,AN120,AQ120,AT120,AW120,AZ120)</f>
      </c>
      <c r="BD120" s="14">
        <v>0</v>
      </c>
      <c r="BE120" s="14">
        <f>COUNTA(K120,N120,Q120,T120,W120,Z120,AC120,AF120,AI120,AL120,AO120,AR120,AU120,AX120,BA120)</f>
      </c>
      <c r="BF120" s="8" t="s">
        <v>40</v>
      </c>
    </row>
    <row r="121" spans="2:58" x14ac:dyDescent="0.25">
      <c r="B121" s="8" t="s">
        <v>33</v>
      </c>
      <c r="C121" s="8" t="s">
        <v>283</v>
      </c>
      <c r="D121" s="9" t="s">
        <v>88</v>
      </c>
      <c r="E121" s="9" t="s">
        <v>309</v>
      </c>
      <c r="F121" s="8" t="s">
        <v>310</v>
      </c>
      <c r="G121" s="8" t="s">
        <v>52</v>
      </c>
      <c r="H121" s="10" t="s">
        <v>87</v>
      </c>
      <c r="I121" s="11" t="s">
        <v>38</v>
      </c>
      <c r="J121" s="11"/>
      <c r="K121" s="11"/>
      <c r="L121" s="11" t="s">
        <v>38</v>
      </c>
      <c r="M121" s="11"/>
      <c r="N121" s="11"/>
      <c r="O121" s="11" t="s">
        <v>38</v>
      </c>
      <c r="P121" s="11"/>
      <c r="Q121" s="11"/>
      <c r="R121" s="11" t="s">
        <v>38</v>
      </c>
      <c r="S121" s="11"/>
      <c r="T121" s="11"/>
      <c r="U121" s="11" t="s">
        <v>38</v>
      </c>
      <c r="V121" s="11"/>
      <c r="W121" s="11"/>
      <c r="X121" s="12" t="s">
        <v>38</v>
      </c>
      <c r="Y121" s="12"/>
      <c r="Z121" s="12"/>
      <c r="AA121" s="12" t="s">
        <v>38</v>
      </c>
      <c r="AB121" s="12"/>
      <c r="AC121" s="12"/>
      <c r="AD121" s="12" t="s">
        <v>38</v>
      </c>
      <c r="AE121" s="12"/>
      <c r="AF121" s="12"/>
      <c r="AG121" s="13" t="s">
        <v>38</v>
      </c>
      <c r="AH121" s="13"/>
      <c r="AI121" s="13"/>
      <c r="AJ121" s="13" t="s">
        <v>38</v>
      </c>
      <c r="AK121" s="13"/>
      <c r="AL121" s="13"/>
      <c r="AM121" s="13" t="s">
        <v>38</v>
      </c>
      <c r="AN121" s="13"/>
      <c r="AO121" s="13"/>
      <c r="AP121" s="13" t="s">
        <v>38</v>
      </c>
      <c r="AQ121" s="13"/>
      <c r="AR121" s="13"/>
      <c r="AS121" s="13" t="s">
        <v>38</v>
      </c>
      <c r="AT121" s="13"/>
      <c r="AU121" s="13"/>
      <c r="AV121" s="13" t="s">
        <v>38</v>
      </c>
      <c r="AW121" s="13"/>
      <c r="AX121" s="13"/>
      <c r="AY121" s="13" t="s">
        <v>38</v>
      </c>
      <c r="AZ121" s="13"/>
      <c r="BA121" s="13"/>
      <c r="BB121" s="14">
        <f>SUM(BC121:BE121)</f>
      </c>
      <c r="BC121" s="14">
        <f>COUNTA(I121,L121,O121,R121,U121,X121,AA121,AD121,AG121,AJ121,AM121,AP121,AS121,AV121,AY121,J121,M121,P121,S121,V121,Y121,AB121,AE121,AH121,AK121,AN121,AQ121,AT121,AW121,AZ121)</f>
      </c>
      <c r="BD121" s="14">
        <v>0</v>
      </c>
      <c r="BE121" s="14">
        <f>COUNTA(K121,N121,Q121,T121,W121,Z121,AC121,AF121,AI121,AL121,AO121,AR121,AU121,AX121,BA121)</f>
      </c>
      <c r="BF121" s="8" t="s">
        <v>40</v>
      </c>
    </row>
    <row r="122" spans="2:58" x14ac:dyDescent="0.25">
      <c r="B122" s="8" t="s">
        <v>33</v>
      </c>
      <c r="C122" s="8" t="s">
        <v>283</v>
      </c>
      <c r="D122" s="9" t="s">
        <v>40</v>
      </c>
      <c r="E122" s="9" t="s">
        <v>311</v>
      </c>
      <c r="F122" s="8" t="s">
        <v>310</v>
      </c>
      <c r="G122" s="8" t="s">
        <v>52</v>
      </c>
      <c r="H122" s="10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12"/>
      <c r="Z122" s="12"/>
      <c r="AA122" s="12"/>
      <c r="AB122" s="12"/>
      <c r="AC122" s="12"/>
      <c r="AD122" s="12"/>
      <c r="AE122" s="12"/>
      <c r="AF122" s="12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4">
        <f>SUM(BC122:BE122)</f>
      </c>
      <c r="BC122" s="14">
        <f>COUNTA(I122,L122,O122,R122,U122,X122,AA122,AD122,AG122,AJ122,AM122,AP122,AS122,AV122,AY122,J122,M122,P122,S122,V122,Y122,AB122,AE122,AH122,AK122,AN122,AQ122,AT122,AW122,AZ122)</f>
      </c>
      <c r="BD122" s="14">
        <v>0</v>
      </c>
      <c r="BE122" s="14">
        <f>COUNTA(K122,N122,Q122,T122,W122,Z122,AC122,AF122,AI122,AL122,AO122,AR122,AU122,AX122,BA122)</f>
      </c>
      <c r="BF122" s="8" t="s">
        <v>40</v>
      </c>
    </row>
    <row r="123" spans="2:58" x14ac:dyDescent="0.25">
      <c r="B123" s="8" t="s">
        <v>33</v>
      </c>
      <c r="C123" s="8" t="s">
        <v>283</v>
      </c>
      <c r="D123" s="9" t="s">
        <v>110</v>
      </c>
      <c r="E123" s="9" t="s">
        <v>312</v>
      </c>
      <c r="F123" s="8" t="s">
        <v>313</v>
      </c>
      <c r="G123" s="8" t="s">
        <v>52</v>
      </c>
      <c r="H123" s="10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12"/>
      <c r="Z123" s="12"/>
      <c r="AA123" s="12"/>
      <c r="AB123" s="12"/>
      <c r="AC123" s="12"/>
      <c r="AD123" s="12"/>
      <c r="AE123" s="12"/>
      <c r="AF123" s="12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4">
        <f>SUM(BC123:BE123)</f>
      </c>
      <c r="BC123" s="14">
        <f>COUNTA(I123,L123,O123,R123,U123,X123,AA123,AD123,AG123,AJ123,AM123,AP123,AS123,AV123,AY123,J123,M123,P123,S123,V123,Y123,AB123,AE123,AH123,AK123,AN123,AQ123,AT123,AW123,AZ123)</f>
      </c>
      <c r="BD123" s="14">
        <v>0</v>
      </c>
      <c r="BE123" s="14">
        <f>COUNTA(K123,N123,Q123,T123,W123,Z123,AC123,AF123,AI123,AL123,AO123,AR123,AU123,AX123,BA123)</f>
      </c>
      <c r="BF123" s="8" t="s">
        <v>40</v>
      </c>
    </row>
    <row r="124" spans="2:58" x14ac:dyDescent="0.25">
      <c r="B124" s="8" t="s">
        <v>33</v>
      </c>
      <c r="C124" s="8" t="s">
        <v>283</v>
      </c>
      <c r="D124" s="9" t="s">
        <v>110</v>
      </c>
      <c r="E124" s="9" t="s">
        <v>314</v>
      </c>
      <c r="F124" s="8" t="s">
        <v>315</v>
      </c>
      <c r="G124" s="8" t="s">
        <v>52</v>
      </c>
      <c r="H124" s="10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12"/>
      <c r="Z124" s="12"/>
      <c r="AA124" s="12"/>
      <c r="AB124" s="12"/>
      <c r="AC124" s="12"/>
      <c r="AD124" s="12"/>
      <c r="AE124" s="12"/>
      <c r="AF124" s="12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4">
        <f>SUM(BC124:BE124)</f>
      </c>
      <c r="BC124" s="14">
        <f>COUNTA(I124,L124,O124,R124,U124,X124,AA124,AD124,AG124,AJ124,AM124,AP124,AS124,AV124,AY124,J124,M124,P124,S124,V124,Y124,AB124,AE124,AH124,AK124,AN124,AQ124,AT124,AW124,AZ124)</f>
      </c>
      <c r="BD124" s="14">
        <v>0</v>
      </c>
      <c r="BE124" s="14">
        <f>COUNTA(K124,N124,Q124,T124,W124,Z124,AC124,AF124,AI124,AL124,AO124,AR124,AU124,AX124,BA124)</f>
      </c>
      <c r="BF124" s="8" t="s">
        <v>40</v>
      </c>
    </row>
    <row r="125" spans="2:58" x14ac:dyDescent="0.25">
      <c r="B125" s="8" t="s">
        <v>33</v>
      </c>
      <c r="C125" s="8" t="s">
        <v>283</v>
      </c>
      <c r="D125" s="9" t="s">
        <v>67</v>
      </c>
      <c r="E125" s="9" t="s">
        <v>316</v>
      </c>
      <c r="F125" s="8" t="s">
        <v>317</v>
      </c>
      <c r="G125" s="8" t="s">
        <v>38</v>
      </c>
      <c r="H125" s="10" t="s">
        <v>318</v>
      </c>
      <c r="I125" s="11" t="s">
        <v>38</v>
      </c>
      <c r="J125" s="11"/>
      <c r="K125" s="11"/>
      <c r="L125" s="11" t="s">
        <v>38</v>
      </c>
      <c r="M125" s="11"/>
      <c r="N125" s="11"/>
      <c r="O125" s="11" t="s">
        <v>38</v>
      </c>
      <c r="P125" s="11"/>
      <c r="Q125" s="11"/>
      <c r="R125" s="11" t="s">
        <v>38</v>
      </c>
      <c r="S125" s="11"/>
      <c r="T125" s="11"/>
      <c r="U125" s="11" t="s">
        <v>38</v>
      </c>
      <c r="V125" s="11"/>
      <c r="W125" s="11"/>
      <c r="X125" s="12" t="s">
        <v>38</v>
      </c>
      <c r="Y125" s="12"/>
      <c r="Z125" s="12"/>
      <c r="AA125" s="12"/>
      <c r="AB125" s="12" t="s">
        <v>38</v>
      </c>
      <c r="AC125" s="12"/>
      <c r="AD125" s="12" t="s">
        <v>38</v>
      </c>
      <c r="AE125" s="12"/>
      <c r="AF125" s="12"/>
      <c r="AG125" s="13" t="s">
        <v>38</v>
      </c>
      <c r="AH125" s="13"/>
      <c r="AI125" s="13"/>
      <c r="AJ125" s="13" t="s">
        <v>38</v>
      </c>
      <c r="AK125" s="13"/>
      <c r="AL125" s="13"/>
      <c r="AM125" s="13" t="s">
        <v>38</v>
      </c>
      <c r="AN125" s="13"/>
      <c r="AO125" s="13"/>
      <c r="AP125" s="13" t="s">
        <v>38</v>
      </c>
      <c r="AQ125" s="13"/>
      <c r="AR125" s="13"/>
      <c r="AS125" s="13" t="s">
        <v>38</v>
      </c>
      <c r="AT125" s="13"/>
      <c r="AU125" s="13"/>
      <c r="AV125" s="13" t="s">
        <v>38</v>
      </c>
      <c r="AW125" s="13"/>
      <c r="AX125" s="13"/>
      <c r="AY125" s="13" t="s">
        <v>38</v>
      </c>
      <c r="AZ125" s="13"/>
      <c r="BA125" s="13"/>
      <c r="BB125" s="14">
        <f>SUM(BC125:BE125)</f>
      </c>
      <c r="BC125" s="14">
        <f>COUNTA(I125,L125,O125,R125,U125,X125,AA125,AD125,AG125,AJ125,AM125,AP125,AS125,AV125,AY125,J125,M125,P125,S125,V125,Y125,AB125,AE125,AH125,AK125,AN125,AQ125,AT125,AW125,AZ125)</f>
      </c>
      <c r="BD125" s="14">
        <v>0</v>
      </c>
      <c r="BE125" s="14">
        <f>COUNTA(K125,N125,Q125,T125,W125,Z125,AC125,AF125,AI125,AL125,AO125,AR125,AU125,AX125,BA125)</f>
      </c>
      <c r="BF125" s="8" t="s">
        <v>40</v>
      </c>
    </row>
    <row r="126" spans="2:58" x14ac:dyDescent="0.25">
      <c r="B126" s="8" t="s">
        <v>33</v>
      </c>
      <c r="C126" s="8" t="s">
        <v>283</v>
      </c>
      <c r="D126" s="9" t="s">
        <v>110</v>
      </c>
      <c r="E126" s="9" t="s">
        <v>319</v>
      </c>
      <c r="F126" s="8" t="s">
        <v>320</v>
      </c>
      <c r="G126" s="8" t="s">
        <v>52</v>
      </c>
      <c r="H126" s="10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2"/>
      <c r="Y126" s="12"/>
      <c r="Z126" s="12"/>
      <c r="AA126" s="12"/>
      <c r="AB126" s="12"/>
      <c r="AC126" s="12"/>
      <c r="AD126" s="12"/>
      <c r="AE126" s="12"/>
      <c r="AF126" s="12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4">
        <f>SUM(BC126:BE126)</f>
      </c>
      <c r="BC126" s="14">
        <f>COUNTA(I126,L126,O126,R126,U126,X126,AA126,AD126,AG126,AJ126,AM126,AP126,AS126,AV126,AY126,J126,M126,P126,S126,V126,Y126,AB126,AE126,AH126,AK126,AN126,AQ126,AT126,AW126,AZ126)</f>
      </c>
      <c r="BD126" s="14">
        <v>0</v>
      </c>
      <c r="BE126" s="14">
        <f>COUNTA(K126,N126,Q126,T126,W126,Z126,AC126,AF126,AI126,AL126,AO126,AR126,AU126,AX126,BA126)</f>
      </c>
      <c r="BF126" s="8" t="s">
        <v>40</v>
      </c>
    </row>
    <row r="127" spans="2:58" x14ac:dyDescent="0.25">
      <c r="B127" s="8" t="s">
        <v>33</v>
      </c>
      <c r="C127" s="8" t="s">
        <v>283</v>
      </c>
      <c r="D127" s="9" t="s">
        <v>110</v>
      </c>
      <c r="E127" s="9" t="s">
        <v>321</v>
      </c>
      <c r="F127" s="8" t="s">
        <v>322</v>
      </c>
      <c r="G127" s="8" t="s">
        <v>38</v>
      </c>
      <c r="H127" s="10" t="s">
        <v>318</v>
      </c>
      <c r="I127" s="11" t="s">
        <v>38</v>
      </c>
      <c r="J127" s="11"/>
      <c r="K127" s="11"/>
      <c r="L127" s="11" t="s">
        <v>38</v>
      </c>
      <c r="M127" s="11"/>
      <c r="N127" s="11"/>
      <c r="O127" s="11" t="s">
        <v>38</v>
      </c>
      <c r="P127" s="11"/>
      <c r="Q127" s="11"/>
      <c r="R127" s="11" t="s">
        <v>38</v>
      </c>
      <c r="S127" s="11"/>
      <c r="T127" s="11"/>
      <c r="U127" s="11" t="s">
        <v>38</v>
      </c>
      <c r="V127" s="11"/>
      <c r="W127" s="11"/>
      <c r="X127" s="12" t="s">
        <v>38</v>
      </c>
      <c r="Y127" s="12"/>
      <c r="Z127" s="12"/>
      <c r="AA127" s="12" t="s">
        <v>38</v>
      </c>
      <c r="AB127" s="12"/>
      <c r="AC127" s="12"/>
      <c r="AD127" s="12" t="s">
        <v>38</v>
      </c>
      <c r="AE127" s="12"/>
      <c r="AF127" s="12"/>
      <c r="AG127" s="13" t="s">
        <v>38</v>
      </c>
      <c r="AH127" s="13"/>
      <c r="AI127" s="13"/>
      <c r="AJ127" s="13" t="s">
        <v>38</v>
      </c>
      <c r="AK127" s="13"/>
      <c r="AL127" s="13"/>
      <c r="AM127" s="13" t="s">
        <v>38</v>
      </c>
      <c r="AN127" s="13"/>
      <c r="AO127" s="13"/>
      <c r="AP127" s="13" t="s">
        <v>38</v>
      </c>
      <c r="AQ127" s="13"/>
      <c r="AR127" s="13"/>
      <c r="AS127" s="13" t="s">
        <v>38</v>
      </c>
      <c r="AT127" s="13"/>
      <c r="AU127" s="13"/>
      <c r="AV127" s="13" t="s">
        <v>38</v>
      </c>
      <c r="AW127" s="13"/>
      <c r="AX127" s="13"/>
      <c r="AY127" s="13" t="s">
        <v>38</v>
      </c>
      <c r="AZ127" s="13"/>
      <c r="BA127" s="13"/>
      <c r="BB127" s="14">
        <f>SUM(BC127:BE127)</f>
      </c>
      <c r="BC127" s="14">
        <f>COUNTA(I127,L127,O127,R127,U127,X127,AA127,AD127,AG127,AJ127,AM127,AP127,AS127,AV127,AY127,J127,M127,P127,S127,V127,Y127,AB127,AE127,AH127,AK127,AN127,AQ127,AT127,AW127,AZ127)</f>
      </c>
      <c r="BD127" s="14">
        <v>0</v>
      </c>
      <c r="BE127" s="14">
        <f>COUNTA(K127,N127,Q127,T127,W127,Z127,AC127,AF127,AI127,AL127,AO127,AR127,AU127,AX127,BA127)</f>
      </c>
      <c r="BF127" s="8" t="s">
        <v>40</v>
      </c>
    </row>
    <row r="128" spans="2:58" x14ac:dyDescent="0.25">
      <c r="B128" s="8" t="s">
        <v>33</v>
      </c>
      <c r="C128" s="8" t="s">
        <v>283</v>
      </c>
      <c r="D128" s="9" t="s">
        <v>67</v>
      </c>
      <c r="E128" s="9" t="s">
        <v>323</v>
      </c>
      <c r="F128" s="8" t="s">
        <v>324</v>
      </c>
      <c r="G128" s="8" t="s">
        <v>38</v>
      </c>
      <c r="H128" s="10" t="s">
        <v>308</v>
      </c>
      <c r="I128" s="11" t="s">
        <v>38</v>
      </c>
      <c r="J128" s="11"/>
      <c r="K128" s="11"/>
      <c r="L128" s="11" t="s">
        <v>38</v>
      </c>
      <c r="M128" s="11"/>
      <c r="N128" s="11"/>
      <c r="O128" s="11" t="s">
        <v>38</v>
      </c>
      <c r="P128" s="11"/>
      <c r="Q128" s="11"/>
      <c r="R128" s="11" t="s">
        <v>38</v>
      </c>
      <c r="S128" s="11"/>
      <c r="T128" s="11"/>
      <c r="U128" s="11" t="s">
        <v>38</v>
      </c>
      <c r="V128" s="11"/>
      <c r="W128" s="11"/>
      <c r="X128" s="12"/>
      <c r="Y128" s="12" t="s">
        <v>38</v>
      </c>
      <c r="Z128" s="12"/>
      <c r="AA128" s="12" t="s">
        <v>38</v>
      </c>
      <c r="AB128" s="12"/>
      <c r="AC128" s="12"/>
      <c r="AD128" s="12" t="s">
        <v>38</v>
      </c>
      <c r="AE128" s="12"/>
      <c r="AF128" s="12"/>
      <c r="AG128" s="13" t="s">
        <v>38</v>
      </c>
      <c r="AH128" s="13"/>
      <c r="AI128" s="13"/>
      <c r="AJ128" s="13" t="s">
        <v>38</v>
      </c>
      <c r="AK128" s="13"/>
      <c r="AL128" s="13"/>
      <c r="AM128" s="13" t="s">
        <v>38</v>
      </c>
      <c r="AN128" s="13"/>
      <c r="AO128" s="13"/>
      <c r="AP128" s="13" t="s">
        <v>38</v>
      </c>
      <c r="AQ128" s="13"/>
      <c r="AR128" s="13"/>
      <c r="AS128" s="13" t="s">
        <v>38</v>
      </c>
      <c r="AT128" s="13"/>
      <c r="AU128" s="13"/>
      <c r="AV128" s="13" t="s">
        <v>38</v>
      </c>
      <c r="AW128" s="13"/>
      <c r="AX128" s="13"/>
      <c r="AY128" s="13" t="s">
        <v>38</v>
      </c>
      <c r="AZ128" s="13"/>
      <c r="BA128" s="13"/>
      <c r="BB128" s="14">
        <f>SUM(BC128:BE128)</f>
      </c>
      <c r="BC128" s="14">
        <f>COUNTA(I128,L128,O128,R128,U128,X128,AA128,AD128,AG128,AJ128,AM128,AP128,AS128,AV128,AY128,J128,M128,P128,S128,V128,Y128,AB128,AE128,AH128,AK128,AN128,AQ128,AT128,AW128,AZ128)</f>
      </c>
      <c r="BD128" s="14">
        <v>0</v>
      </c>
      <c r="BE128" s="14">
        <f>COUNTA(K128,N128,Q128,T128,W128,Z128,AC128,AF128,AI128,AL128,AO128,AR128,AU128,AX128,BA128)</f>
      </c>
      <c r="BF128" s="8" t="s">
        <v>40</v>
      </c>
    </row>
    <row r="129" spans="2:58" x14ac:dyDescent="0.25">
      <c r="B129" s="8" t="s">
        <v>33</v>
      </c>
      <c r="C129" s="8" t="s">
        <v>283</v>
      </c>
      <c r="D129" s="9" t="s">
        <v>67</v>
      </c>
      <c r="E129" s="9" t="s">
        <v>325</v>
      </c>
      <c r="F129" s="8" t="s">
        <v>326</v>
      </c>
      <c r="G129" s="8" t="s">
        <v>52</v>
      </c>
      <c r="H129" s="10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12"/>
      <c r="Z129" s="12"/>
      <c r="AA129" s="12"/>
      <c r="AB129" s="12"/>
      <c r="AC129" s="12"/>
      <c r="AD129" s="12"/>
      <c r="AE129" s="12"/>
      <c r="AF129" s="12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4">
        <f>SUM(BC129:BE129)</f>
      </c>
      <c r="BC129" s="14">
        <f>COUNTA(I129,L129,O129,R129,U129,X129,AA129,AD129,AG129,AJ129,AM129,AP129,AS129,AV129,AY129,J129,M129,P129,S129,V129,Y129,AB129,AE129,AH129,AK129,AN129,AQ129,AT129,AW129,AZ129)</f>
      </c>
      <c r="BD129" s="14">
        <v>0</v>
      </c>
      <c r="BE129" s="14">
        <f>COUNTA(K129,N129,Q129,T129,W129,Z129,AC129,AF129,AI129,AL129,AO129,AR129,AU129,AX129,BA129)</f>
      </c>
      <c r="BF129" s="8" t="s">
        <v>40</v>
      </c>
    </row>
    <row r="130" spans="2:58" x14ac:dyDescent="0.25">
      <c r="B130" s="8" t="s">
        <v>33</v>
      </c>
      <c r="C130" s="8" t="s">
        <v>283</v>
      </c>
      <c r="D130" s="9" t="s">
        <v>110</v>
      </c>
      <c r="E130" s="9" t="s">
        <v>327</v>
      </c>
      <c r="F130" s="8" t="s">
        <v>328</v>
      </c>
      <c r="G130" s="8" t="s">
        <v>38</v>
      </c>
      <c r="H130" s="10" t="s">
        <v>318</v>
      </c>
      <c r="I130" s="11" t="s">
        <v>38</v>
      </c>
      <c r="J130" s="11"/>
      <c r="K130" s="11"/>
      <c r="L130" s="11" t="s">
        <v>38</v>
      </c>
      <c r="M130" s="11"/>
      <c r="N130" s="11"/>
      <c r="O130" s="11" t="s">
        <v>38</v>
      </c>
      <c r="P130" s="11"/>
      <c r="Q130" s="11"/>
      <c r="R130" s="11" t="s">
        <v>38</v>
      </c>
      <c r="S130" s="11"/>
      <c r="T130" s="11"/>
      <c r="U130" s="11" t="s">
        <v>38</v>
      </c>
      <c r="V130" s="11"/>
      <c r="W130" s="11"/>
      <c r="X130" s="12" t="s">
        <v>38</v>
      </c>
      <c r="Y130" s="12"/>
      <c r="Z130" s="12"/>
      <c r="AA130" s="12" t="s">
        <v>38</v>
      </c>
      <c r="AB130" s="12"/>
      <c r="AC130" s="12"/>
      <c r="AD130" s="12" t="s">
        <v>38</v>
      </c>
      <c r="AE130" s="12"/>
      <c r="AF130" s="12"/>
      <c r="AG130" s="13" t="s">
        <v>38</v>
      </c>
      <c r="AH130" s="13"/>
      <c r="AI130" s="13"/>
      <c r="AJ130" s="13" t="s">
        <v>38</v>
      </c>
      <c r="AK130" s="13"/>
      <c r="AL130" s="13"/>
      <c r="AM130" s="13" t="s">
        <v>38</v>
      </c>
      <c r="AN130" s="13"/>
      <c r="AO130" s="13"/>
      <c r="AP130" s="13" t="s">
        <v>38</v>
      </c>
      <c r="AQ130" s="13"/>
      <c r="AR130" s="13"/>
      <c r="AS130" s="13" t="s">
        <v>38</v>
      </c>
      <c r="AT130" s="13"/>
      <c r="AU130" s="13"/>
      <c r="AV130" s="13" t="s">
        <v>38</v>
      </c>
      <c r="AW130" s="13"/>
      <c r="AX130" s="13"/>
      <c r="AY130" s="13" t="s">
        <v>38</v>
      </c>
      <c r="AZ130" s="13"/>
      <c r="BA130" s="13"/>
      <c r="BB130" s="14">
        <f>SUM(BC130:BE130)</f>
      </c>
      <c r="BC130" s="14">
        <f>COUNTA(I130,L130,O130,R130,U130,X130,AA130,AD130,AG130,AJ130,AM130,AP130,AS130,AV130,AY130,J130,M130,P130,S130,V130,Y130,AB130,AE130,AH130,AK130,AN130,AQ130,AT130,AW130,AZ130)</f>
      </c>
      <c r="BD130" s="14">
        <v>0</v>
      </c>
      <c r="BE130" s="14">
        <f>COUNTA(K130,N130,Q130,T130,W130,Z130,AC130,AF130,AI130,AL130,AO130,AR130,AU130,AX130,BA130)</f>
      </c>
      <c r="BF130" s="8" t="s">
        <v>40</v>
      </c>
    </row>
    <row r="131" spans="2:58" x14ac:dyDescent="0.25">
      <c r="B131" s="8" t="s">
        <v>33</v>
      </c>
      <c r="C131" s="8" t="s">
        <v>329</v>
      </c>
      <c r="D131" s="9" t="s">
        <v>67</v>
      </c>
      <c r="E131" s="9" t="s">
        <v>330</v>
      </c>
      <c r="F131" s="8" t="s">
        <v>331</v>
      </c>
      <c r="G131" s="8" t="s">
        <v>52</v>
      </c>
      <c r="H131" s="10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2"/>
      <c r="Y131" s="12"/>
      <c r="Z131" s="12"/>
      <c r="AA131" s="12"/>
      <c r="AB131" s="12"/>
      <c r="AC131" s="12"/>
      <c r="AD131" s="12"/>
      <c r="AE131" s="12"/>
      <c r="AF131" s="12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4">
        <f>SUM(BC131:BE131)</f>
      </c>
      <c r="BC131" s="14">
        <f>COUNTA(I131,L131,O131,R131,U131,X131,AA131,AD131,AG131,AJ131,AM131,AP131,AS131,AV131,AY131,J131,M131,P131,S131,V131,Y131,AB131,AE131,AH131,AK131,AN131,AQ131,AT131,AW131,AZ131)</f>
      </c>
      <c r="BD131" s="14">
        <v>0</v>
      </c>
      <c r="BE131" s="14">
        <f>COUNTA(K131,N131,Q131,T131,W131,Z131,AC131,AF131,AI131,AL131,AO131,AR131,AU131,AX131,BA131)</f>
      </c>
      <c r="BF131" s="8" t="s">
        <v>40</v>
      </c>
    </row>
    <row r="132" spans="2:58" x14ac:dyDescent="0.25">
      <c r="B132" s="8" t="s">
        <v>33</v>
      </c>
      <c r="C132" s="8" t="s">
        <v>329</v>
      </c>
      <c r="D132" s="9" t="s">
        <v>67</v>
      </c>
      <c r="E132" s="9" t="s">
        <v>332</v>
      </c>
      <c r="F132" s="8" t="s">
        <v>333</v>
      </c>
      <c r="G132" s="8" t="s">
        <v>38</v>
      </c>
      <c r="H132" s="10" t="s">
        <v>334</v>
      </c>
      <c r="I132" s="11" t="s">
        <v>38</v>
      </c>
      <c r="J132" s="11"/>
      <c r="K132" s="11"/>
      <c r="L132" s="11" t="s">
        <v>38</v>
      </c>
      <c r="M132" s="11"/>
      <c r="N132" s="11"/>
      <c r="O132" s="11" t="s">
        <v>38</v>
      </c>
      <c r="P132" s="11"/>
      <c r="Q132" s="11"/>
      <c r="R132" s="11" t="s">
        <v>38</v>
      </c>
      <c r="S132" s="11"/>
      <c r="T132" s="11"/>
      <c r="U132" s="11" t="s">
        <v>38</v>
      </c>
      <c r="V132" s="11"/>
      <c r="W132" s="11"/>
      <c r="X132" s="12" t="s">
        <v>38</v>
      </c>
      <c r="Y132" s="12"/>
      <c r="Z132" s="12"/>
      <c r="AA132" s="12" t="s">
        <v>38</v>
      </c>
      <c r="AB132" s="12"/>
      <c r="AC132" s="12"/>
      <c r="AD132" s="12" t="s">
        <v>38</v>
      </c>
      <c r="AE132" s="12"/>
      <c r="AF132" s="12"/>
      <c r="AG132" s="13" t="s">
        <v>38</v>
      </c>
      <c r="AH132" s="13"/>
      <c r="AI132" s="13"/>
      <c r="AJ132" s="13" t="s">
        <v>38</v>
      </c>
      <c r="AK132" s="13"/>
      <c r="AL132" s="13"/>
      <c r="AM132" s="13" t="s">
        <v>38</v>
      </c>
      <c r="AN132" s="13"/>
      <c r="AO132" s="13"/>
      <c r="AP132" s="13" t="s">
        <v>38</v>
      </c>
      <c r="AQ132" s="13"/>
      <c r="AR132" s="13"/>
      <c r="AS132" s="13" t="s">
        <v>38</v>
      </c>
      <c r="AT132" s="13"/>
      <c r="AU132" s="13"/>
      <c r="AV132" s="13" t="s">
        <v>38</v>
      </c>
      <c r="AW132" s="13"/>
      <c r="AX132" s="13"/>
      <c r="AY132" s="13" t="s">
        <v>38</v>
      </c>
      <c r="AZ132" s="13"/>
      <c r="BA132" s="13"/>
      <c r="BB132" s="14">
        <f>SUM(BC132:BE132)</f>
      </c>
      <c r="BC132" s="14">
        <f>COUNTA(I132,L132,O132,R132,U132,X132,AA132,AD132,AG132,AJ132,AM132,AP132,AS132,AV132,AY132,J132,M132,P132,S132,V132,Y132,AB132,AE132,AH132,AK132,AN132,AQ132,AT132,AW132,AZ132)</f>
      </c>
      <c r="BD132" s="14">
        <v>0</v>
      </c>
      <c r="BE132" s="14">
        <f>COUNTA(K132,N132,Q132,T132,W132,Z132,AC132,AF132,AI132,AL132,AO132,AR132,AU132,AX132,BA132)</f>
      </c>
      <c r="BF132" s="8" t="s">
        <v>40</v>
      </c>
    </row>
    <row r="133" spans="2:58" x14ac:dyDescent="0.25">
      <c r="B133" s="8" t="s">
        <v>33</v>
      </c>
      <c r="C133" s="8" t="s">
        <v>329</v>
      </c>
      <c r="D133" s="9" t="s">
        <v>67</v>
      </c>
      <c r="E133" s="9" t="s">
        <v>335</v>
      </c>
      <c r="F133" s="8" t="s">
        <v>336</v>
      </c>
      <c r="G133" s="8" t="s">
        <v>38</v>
      </c>
      <c r="H133" s="10" t="s">
        <v>334</v>
      </c>
      <c r="I133" s="11" t="s">
        <v>38</v>
      </c>
      <c r="J133" s="11"/>
      <c r="K133" s="11"/>
      <c r="L133" s="11" t="s">
        <v>38</v>
      </c>
      <c r="M133" s="11"/>
      <c r="N133" s="11"/>
      <c r="O133" s="11" t="s">
        <v>38</v>
      </c>
      <c r="P133" s="11"/>
      <c r="Q133" s="11"/>
      <c r="R133" s="11" t="s">
        <v>38</v>
      </c>
      <c r="S133" s="11"/>
      <c r="T133" s="11"/>
      <c r="U133" s="11" t="s">
        <v>38</v>
      </c>
      <c r="V133" s="11"/>
      <c r="W133" s="11"/>
      <c r="X133" s="12" t="s">
        <v>38</v>
      </c>
      <c r="Y133" s="12"/>
      <c r="Z133" s="12"/>
      <c r="AA133" s="12" t="s">
        <v>38</v>
      </c>
      <c r="AB133" s="12"/>
      <c r="AC133" s="12"/>
      <c r="AD133" s="12" t="s">
        <v>38</v>
      </c>
      <c r="AE133" s="12"/>
      <c r="AF133" s="12"/>
      <c r="AG133" s="13" t="s">
        <v>38</v>
      </c>
      <c r="AH133" s="13"/>
      <c r="AI133" s="13"/>
      <c r="AJ133" s="13" t="s">
        <v>38</v>
      </c>
      <c r="AK133" s="13"/>
      <c r="AL133" s="13"/>
      <c r="AM133" s="13" t="s">
        <v>38</v>
      </c>
      <c r="AN133" s="13"/>
      <c r="AO133" s="13"/>
      <c r="AP133" s="13" t="s">
        <v>38</v>
      </c>
      <c r="AQ133" s="13"/>
      <c r="AR133" s="13"/>
      <c r="AS133" s="13" t="s">
        <v>38</v>
      </c>
      <c r="AT133" s="13"/>
      <c r="AU133" s="13"/>
      <c r="AV133" s="13" t="s">
        <v>38</v>
      </c>
      <c r="AW133" s="13"/>
      <c r="AX133" s="13"/>
      <c r="AY133" s="13" t="s">
        <v>38</v>
      </c>
      <c r="AZ133" s="13"/>
      <c r="BA133" s="13"/>
      <c r="BB133" s="14">
        <f>SUM(BC133:BE133)</f>
      </c>
      <c r="BC133" s="14">
        <f>COUNTA(I133,L133,O133,R133,U133,X133,AA133,AD133,AG133,AJ133,AM133,AP133,AS133,AV133,AY133,J133,M133,P133,S133,V133,Y133,AB133,AE133,AH133,AK133,AN133,AQ133,AT133,AW133,AZ133)</f>
      </c>
      <c r="BD133" s="14">
        <v>0</v>
      </c>
      <c r="BE133" s="14">
        <f>COUNTA(K133,N133,Q133,T133,W133,Z133,AC133,AF133,AI133,AL133,AO133,AR133,AU133,AX133,BA133)</f>
      </c>
      <c r="BF133" s="8" t="s">
        <v>40</v>
      </c>
    </row>
    <row r="134" spans="2:58" x14ac:dyDescent="0.25">
      <c r="B134" s="8" t="s">
        <v>33</v>
      </c>
      <c r="C134" s="8" t="s">
        <v>329</v>
      </c>
      <c r="D134" s="9" t="s">
        <v>67</v>
      </c>
      <c r="E134" s="9" t="s">
        <v>337</v>
      </c>
      <c r="F134" s="8" t="s">
        <v>338</v>
      </c>
      <c r="G134" s="8" t="s">
        <v>38</v>
      </c>
      <c r="H134" s="10" t="s">
        <v>299</v>
      </c>
      <c r="I134" s="11" t="s">
        <v>38</v>
      </c>
      <c r="J134" s="11"/>
      <c r="K134" s="11"/>
      <c r="L134" s="11" t="s">
        <v>38</v>
      </c>
      <c r="M134" s="11"/>
      <c r="N134" s="11"/>
      <c r="O134" s="11" t="s">
        <v>38</v>
      </c>
      <c r="P134" s="11"/>
      <c r="Q134" s="11"/>
      <c r="R134" s="11" t="s">
        <v>38</v>
      </c>
      <c r="S134" s="11"/>
      <c r="T134" s="11"/>
      <c r="U134" s="11" t="s">
        <v>38</v>
      </c>
      <c r="V134" s="11"/>
      <c r="W134" s="11"/>
      <c r="X134" s="12" t="s">
        <v>38</v>
      </c>
      <c r="Y134" s="12"/>
      <c r="Z134" s="12"/>
      <c r="AA134" s="12" t="s">
        <v>38</v>
      </c>
      <c r="AB134" s="12"/>
      <c r="AC134" s="12"/>
      <c r="AD134" s="12" t="s">
        <v>38</v>
      </c>
      <c r="AE134" s="12"/>
      <c r="AF134" s="12"/>
      <c r="AG134" s="13" t="s">
        <v>38</v>
      </c>
      <c r="AH134" s="13"/>
      <c r="AI134" s="13"/>
      <c r="AJ134" s="13" t="s">
        <v>38</v>
      </c>
      <c r="AK134" s="13"/>
      <c r="AL134" s="13"/>
      <c r="AM134" s="13" t="s">
        <v>38</v>
      </c>
      <c r="AN134" s="13"/>
      <c r="AO134" s="13"/>
      <c r="AP134" s="13" t="s">
        <v>38</v>
      </c>
      <c r="AQ134" s="13"/>
      <c r="AR134" s="13"/>
      <c r="AS134" s="13" t="s">
        <v>38</v>
      </c>
      <c r="AT134" s="13"/>
      <c r="AU134" s="13"/>
      <c r="AV134" s="13" t="s">
        <v>38</v>
      </c>
      <c r="AW134" s="13"/>
      <c r="AX134" s="13"/>
      <c r="AY134" s="13" t="s">
        <v>38</v>
      </c>
      <c r="AZ134" s="13"/>
      <c r="BA134" s="13"/>
      <c r="BB134" s="14">
        <f>SUM(BC134:BE134)</f>
      </c>
      <c r="BC134" s="14">
        <f>COUNTA(I134,L134,O134,R134,U134,X134,AA134,AD134,AG134,AJ134,AM134,AP134,AS134,AV134,AY134,J134,M134,P134,S134,V134,Y134,AB134,AE134,AH134,AK134,AN134,AQ134,AT134,AW134,AZ134)</f>
      </c>
      <c r="BD134" s="14">
        <v>0</v>
      </c>
      <c r="BE134" s="14">
        <f>COUNTA(K134,N134,Q134,T134,W134,Z134,AC134,AF134,AI134,AL134,AO134,AR134,AU134,AX134,BA134)</f>
      </c>
      <c r="BF134" s="8" t="s">
        <v>40</v>
      </c>
    </row>
    <row r="135" spans="2:58" x14ac:dyDescent="0.25">
      <c r="B135" s="8" t="s">
        <v>33</v>
      </c>
      <c r="C135" s="8" t="s">
        <v>329</v>
      </c>
      <c r="D135" s="9" t="s">
        <v>110</v>
      </c>
      <c r="E135" s="9" t="s">
        <v>339</v>
      </c>
      <c r="F135" s="8" t="s">
        <v>340</v>
      </c>
      <c r="G135" s="8" t="s">
        <v>52</v>
      </c>
      <c r="H135" s="10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12"/>
      <c r="Z135" s="12"/>
      <c r="AA135" s="12"/>
      <c r="AB135" s="12"/>
      <c r="AC135" s="12"/>
      <c r="AD135" s="12"/>
      <c r="AE135" s="12"/>
      <c r="AF135" s="12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4">
        <f>SUM(BC135:BE135)</f>
      </c>
      <c r="BC135" s="14">
        <f>COUNTA(I135,L135,O135,R135,U135,X135,AA135,AD135,AG135,AJ135,AM135,AP135,AS135,AV135,AY135,J135,M135,P135,S135,V135,Y135,AB135,AE135,AH135,AK135,AN135,AQ135,AT135,AW135,AZ135)</f>
      </c>
      <c r="BD135" s="14">
        <v>0</v>
      </c>
      <c r="BE135" s="14">
        <f>COUNTA(K135,N135,Q135,T135,W135,Z135,AC135,AF135,AI135,AL135,AO135,AR135,AU135,AX135,BA135)</f>
      </c>
      <c r="BF135" s="8" t="s">
        <v>40</v>
      </c>
    </row>
    <row r="136" spans="2:58" x14ac:dyDescent="0.25">
      <c r="B136" s="8" t="s">
        <v>33</v>
      </c>
      <c r="C136" s="8" t="s">
        <v>329</v>
      </c>
      <c r="D136" s="9" t="s">
        <v>110</v>
      </c>
      <c r="E136" s="9" t="s">
        <v>341</v>
      </c>
      <c r="F136" s="8" t="s">
        <v>342</v>
      </c>
      <c r="G136" s="8" t="s">
        <v>52</v>
      </c>
      <c r="H136" s="10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2"/>
      <c r="Y136" s="12"/>
      <c r="Z136" s="12"/>
      <c r="AA136" s="12"/>
      <c r="AB136" s="12"/>
      <c r="AC136" s="12"/>
      <c r="AD136" s="12"/>
      <c r="AE136" s="12"/>
      <c r="AF136" s="12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4">
        <f>SUM(BC136:BE136)</f>
      </c>
      <c r="BC136" s="14">
        <f>COUNTA(I136,L136,O136,R136,U136,X136,AA136,AD136,AG136,AJ136,AM136,AP136,AS136,AV136,AY136,J136,M136,P136,S136,V136,Y136,AB136,AE136,AH136,AK136,AN136,AQ136,AT136,AW136,AZ136)</f>
      </c>
      <c r="BD136" s="14">
        <v>0</v>
      </c>
      <c r="BE136" s="14">
        <f>COUNTA(K136,N136,Q136,T136,W136,Z136,AC136,AF136,AI136,AL136,AO136,AR136,AU136,AX136,BA136)</f>
      </c>
      <c r="BF136" s="8" t="s">
        <v>40</v>
      </c>
    </row>
    <row r="137" spans="2:58" x14ac:dyDescent="0.25">
      <c r="B137" s="8" t="s">
        <v>33</v>
      </c>
      <c r="C137" s="8" t="s">
        <v>329</v>
      </c>
      <c r="D137" s="9" t="s">
        <v>110</v>
      </c>
      <c r="E137" s="9" t="s">
        <v>343</v>
      </c>
      <c r="F137" s="8" t="s">
        <v>344</v>
      </c>
      <c r="G137" s="8" t="s">
        <v>52</v>
      </c>
      <c r="H137" s="10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2"/>
      <c r="Y137" s="12"/>
      <c r="Z137" s="12"/>
      <c r="AA137" s="12"/>
      <c r="AB137" s="12"/>
      <c r="AC137" s="12"/>
      <c r="AD137" s="12"/>
      <c r="AE137" s="12"/>
      <c r="AF137" s="12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4">
        <f>SUM(BC137:BE137)</f>
      </c>
      <c r="BC137" s="14">
        <f>COUNTA(I137,L137,O137,R137,U137,X137,AA137,AD137,AG137,AJ137,AM137,AP137,AS137,AV137,AY137,J137,M137,P137,S137,V137,Y137,AB137,AE137,AH137,AK137,AN137,AQ137,AT137,AW137,AZ137)</f>
      </c>
      <c r="BD137" s="14">
        <v>0</v>
      </c>
      <c r="BE137" s="14">
        <f>COUNTA(K137,N137,Q137,T137,W137,Z137,AC137,AF137,AI137,AL137,AO137,AR137,AU137,AX137,BA137)</f>
      </c>
      <c r="BF137" s="8" t="s">
        <v>40</v>
      </c>
    </row>
    <row r="138" spans="2:58" x14ac:dyDescent="0.25">
      <c r="B138" s="8" t="s">
        <v>33</v>
      </c>
      <c r="C138" s="8" t="s">
        <v>329</v>
      </c>
      <c r="D138" s="9" t="s">
        <v>110</v>
      </c>
      <c r="E138" s="9" t="s">
        <v>345</v>
      </c>
      <c r="F138" s="8" t="s">
        <v>346</v>
      </c>
      <c r="G138" s="8" t="s">
        <v>38</v>
      </c>
      <c r="H138" s="10" t="s">
        <v>334</v>
      </c>
      <c r="I138" s="11"/>
      <c r="J138" s="11" t="s">
        <v>38</v>
      </c>
      <c r="K138" s="11"/>
      <c r="L138" s="11" t="s">
        <v>38</v>
      </c>
      <c r="M138" s="11"/>
      <c r="N138" s="11"/>
      <c r="O138" s="11" t="s">
        <v>38</v>
      </c>
      <c r="P138" s="11"/>
      <c r="Q138" s="11"/>
      <c r="R138" s="11" t="s">
        <v>38</v>
      </c>
      <c r="S138" s="11"/>
      <c r="T138" s="11"/>
      <c r="U138" s="11" t="s">
        <v>38</v>
      </c>
      <c r="V138" s="11"/>
      <c r="W138" s="11"/>
      <c r="X138" s="12" t="s">
        <v>38</v>
      </c>
      <c r="Y138" s="12"/>
      <c r="Z138" s="12"/>
      <c r="AA138" s="12" t="s">
        <v>38</v>
      </c>
      <c r="AB138" s="12"/>
      <c r="AC138" s="12"/>
      <c r="AD138" s="12" t="s">
        <v>38</v>
      </c>
      <c r="AE138" s="12"/>
      <c r="AF138" s="12"/>
      <c r="AG138" s="13" t="s">
        <v>38</v>
      </c>
      <c r="AH138" s="13"/>
      <c r="AI138" s="13"/>
      <c r="AJ138" s="13" t="s">
        <v>38</v>
      </c>
      <c r="AK138" s="13"/>
      <c r="AL138" s="13"/>
      <c r="AM138" s="13" t="s">
        <v>38</v>
      </c>
      <c r="AN138" s="13"/>
      <c r="AO138" s="13"/>
      <c r="AP138" s="13" t="s">
        <v>38</v>
      </c>
      <c r="AQ138" s="13"/>
      <c r="AR138" s="13"/>
      <c r="AS138" s="13" t="s">
        <v>38</v>
      </c>
      <c r="AT138" s="13"/>
      <c r="AU138" s="13"/>
      <c r="AV138" s="13" t="s">
        <v>38</v>
      </c>
      <c r="AW138" s="13"/>
      <c r="AX138" s="13"/>
      <c r="AY138" s="13" t="s">
        <v>38</v>
      </c>
      <c r="AZ138" s="13"/>
      <c r="BA138" s="13"/>
      <c r="BB138" s="14">
        <f>SUM(BC138:BE138)</f>
      </c>
      <c r="BC138" s="14">
        <f>COUNTA(I138,L138,O138,R138,U138,X138,AA138,AD138,AG138,AJ138,AM138,AP138,AS138,AV138,AY138,J138,M138,P138,S138,V138,Y138,AB138,AE138,AH138,AK138,AN138,AQ138,AT138,AW138,AZ138)</f>
      </c>
      <c r="BD138" s="14">
        <v>0</v>
      </c>
      <c r="BE138" s="14">
        <f>COUNTA(K138,N138,Q138,T138,W138,Z138,AC138,AF138,AI138,AL138,AO138,AR138,AU138,AX138,BA138)</f>
      </c>
      <c r="BF138" s="8" t="s">
        <v>40</v>
      </c>
    </row>
    <row r="139" spans="2:58" x14ac:dyDescent="0.25">
      <c r="B139" s="8" t="s">
        <v>33</v>
      </c>
      <c r="C139" s="8" t="s">
        <v>329</v>
      </c>
      <c r="D139" s="9" t="s">
        <v>88</v>
      </c>
      <c r="E139" s="9" t="s">
        <v>347</v>
      </c>
      <c r="F139" s="8" t="s">
        <v>348</v>
      </c>
      <c r="G139" s="8" t="s">
        <v>38</v>
      </c>
      <c r="H139" s="10" t="s">
        <v>349</v>
      </c>
      <c r="I139" s="11" t="s">
        <v>38</v>
      </c>
      <c r="J139" s="11"/>
      <c r="K139" s="11"/>
      <c r="L139" s="11" t="s">
        <v>38</v>
      </c>
      <c r="M139" s="11"/>
      <c r="N139" s="11"/>
      <c r="O139" s="11" t="s">
        <v>38</v>
      </c>
      <c r="P139" s="11"/>
      <c r="Q139" s="11"/>
      <c r="R139" s="11" t="s">
        <v>38</v>
      </c>
      <c r="S139" s="11"/>
      <c r="T139" s="11"/>
      <c r="U139" s="11" t="s">
        <v>38</v>
      </c>
      <c r="V139" s="11"/>
      <c r="W139" s="11"/>
      <c r="X139" s="12" t="s">
        <v>38</v>
      </c>
      <c r="Y139" s="12"/>
      <c r="Z139" s="12"/>
      <c r="AA139" s="12" t="s">
        <v>38</v>
      </c>
      <c r="AB139" s="12"/>
      <c r="AC139" s="12"/>
      <c r="AD139" s="12"/>
      <c r="AE139" s="12" t="s">
        <v>38</v>
      </c>
      <c r="AF139" s="12"/>
      <c r="AG139" s="13" t="s">
        <v>38</v>
      </c>
      <c r="AH139" s="13"/>
      <c r="AI139" s="13"/>
      <c r="AJ139" s="13" t="s">
        <v>38</v>
      </c>
      <c r="AK139" s="13"/>
      <c r="AL139" s="13"/>
      <c r="AM139" s="13" t="s">
        <v>38</v>
      </c>
      <c r="AN139" s="13"/>
      <c r="AO139" s="13"/>
      <c r="AP139" s="13" t="s">
        <v>38</v>
      </c>
      <c r="AQ139" s="13"/>
      <c r="AR139" s="13"/>
      <c r="AS139" s="13" t="s">
        <v>38</v>
      </c>
      <c r="AT139" s="13"/>
      <c r="AU139" s="13"/>
      <c r="AV139" s="13" t="s">
        <v>38</v>
      </c>
      <c r="AW139" s="13"/>
      <c r="AX139" s="13"/>
      <c r="AY139" s="13" t="s">
        <v>38</v>
      </c>
      <c r="AZ139" s="13"/>
      <c r="BA139" s="13"/>
      <c r="BB139" s="14">
        <f>SUM(BC139:BE139)</f>
      </c>
      <c r="BC139" s="14">
        <f>COUNTA(I139,L139,O139,R139,U139,X139,AA139,AD139,AG139,AJ139,AM139,AP139,AS139,AV139,AY139,J139,M139,P139,S139,V139,Y139,AB139,AE139,AH139,AK139,AN139,AQ139,AT139,AW139,AZ139)</f>
      </c>
      <c r="BD139" s="14">
        <v>0</v>
      </c>
      <c r="BE139" s="14">
        <f>COUNTA(K139,N139,Q139,T139,W139,Z139,AC139,AF139,AI139,AL139,AO139,AR139,AU139,AX139,BA139)</f>
      </c>
      <c r="BF139" s="8" t="s">
        <v>40</v>
      </c>
    </row>
    <row r="140" spans="2:58" x14ac:dyDescent="0.25">
      <c r="B140" s="8" t="s">
        <v>33</v>
      </c>
      <c r="C140" s="8" t="s">
        <v>329</v>
      </c>
      <c r="D140" s="9" t="s">
        <v>88</v>
      </c>
      <c r="E140" s="9" t="s">
        <v>350</v>
      </c>
      <c r="F140" s="8" t="s">
        <v>351</v>
      </c>
      <c r="G140" s="8" t="s">
        <v>52</v>
      </c>
      <c r="H140" s="10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2"/>
      <c r="Y140" s="12"/>
      <c r="Z140" s="12"/>
      <c r="AA140" s="12"/>
      <c r="AB140" s="12"/>
      <c r="AC140" s="12"/>
      <c r="AD140" s="12"/>
      <c r="AE140" s="12"/>
      <c r="AF140" s="12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4">
        <f>SUM(BC140:BE140)</f>
      </c>
      <c r="BC140" s="14">
        <f>COUNTA(I140,L140,O140,R140,U140,X140,AA140,AD140,AG140,AJ140,AM140,AP140,AS140,AV140,AY140,J140,M140,P140,S140,V140,Y140,AB140,AE140,AH140,AK140,AN140,AQ140,AT140,AW140,AZ140)</f>
      </c>
      <c r="BD140" s="14">
        <v>0</v>
      </c>
      <c r="BE140" s="14">
        <f>COUNTA(K140,N140,Q140,T140,W140,Z140,AC140,AF140,AI140,AL140,AO140,AR140,AU140,AX140,BA140)</f>
      </c>
      <c r="BF140" s="8" t="s">
        <v>40</v>
      </c>
    </row>
    <row r="141" spans="2:58" x14ac:dyDescent="0.25">
      <c r="B141" s="8" t="s">
        <v>33</v>
      </c>
      <c r="C141" s="8" t="s">
        <v>329</v>
      </c>
      <c r="D141" s="9" t="s">
        <v>84</v>
      </c>
      <c r="E141" s="9" t="s">
        <v>352</v>
      </c>
      <c r="F141" s="8" t="s">
        <v>353</v>
      </c>
      <c r="G141" s="8" t="s">
        <v>52</v>
      </c>
      <c r="H141" s="10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12"/>
      <c r="Z141" s="12"/>
      <c r="AA141" s="12"/>
      <c r="AB141" s="12"/>
      <c r="AC141" s="12"/>
      <c r="AD141" s="12"/>
      <c r="AE141" s="12"/>
      <c r="AF141" s="12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4">
        <f>SUM(BC141:BE141)</f>
      </c>
      <c r="BC141" s="14">
        <f>COUNTA(I141,L141,O141,R141,U141,X141,AA141,AD141,AG141,AJ141,AM141,AP141,AS141,AV141,AY141,J141,M141,P141,S141,V141,Y141,AB141,AE141,AH141,AK141,AN141,AQ141,AT141,AW141,AZ141)</f>
      </c>
      <c r="BD141" s="14">
        <v>0</v>
      </c>
      <c r="BE141" s="14">
        <f>COUNTA(K141,N141,Q141,T141,W141,Z141,AC141,AF141,AI141,AL141,AO141,AR141,AU141,AX141,BA141)</f>
      </c>
      <c r="BF141" s="8" t="s">
        <v>40</v>
      </c>
    </row>
    <row r="142" spans="2:58" x14ac:dyDescent="0.25">
      <c r="B142" s="8" t="s">
        <v>33</v>
      </c>
      <c r="C142" s="8" t="s">
        <v>329</v>
      </c>
      <c r="D142" s="9" t="s">
        <v>88</v>
      </c>
      <c r="E142" s="9" t="s">
        <v>354</v>
      </c>
      <c r="F142" s="8" t="s">
        <v>355</v>
      </c>
      <c r="G142" s="8" t="s">
        <v>52</v>
      </c>
      <c r="H142" s="10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12"/>
      <c r="Z142" s="12"/>
      <c r="AA142" s="12"/>
      <c r="AB142" s="12"/>
      <c r="AC142" s="12"/>
      <c r="AD142" s="12"/>
      <c r="AE142" s="12"/>
      <c r="AF142" s="12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4">
        <f>SUM(BC142:BE142)</f>
      </c>
      <c r="BC142" s="14">
        <f>COUNTA(I142,L142,O142,R142,U142,X142,AA142,AD142,AG142,AJ142,AM142,AP142,AS142,AV142,AY142,J142,M142,P142,S142,V142,Y142,AB142,AE142,AH142,AK142,AN142,AQ142,AT142,AW142,AZ142)</f>
      </c>
      <c r="BD142" s="14">
        <v>0</v>
      </c>
      <c r="BE142" s="14">
        <f>COUNTA(K142,N142,Q142,T142,W142,Z142,AC142,AF142,AI142,AL142,AO142,AR142,AU142,AX142,BA142)</f>
      </c>
      <c r="BF142" s="8" t="s">
        <v>40</v>
      </c>
    </row>
    <row r="143" spans="2:58" x14ac:dyDescent="0.25">
      <c r="B143" s="8" t="s">
        <v>33</v>
      </c>
      <c r="C143" s="8" t="s">
        <v>329</v>
      </c>
      <c r="D143" s="9" t="s">
        <v>110</v>
      </c>
      <c r="E143" s="9" t="s">
        <v>356</v>
      </c>
      <c r="F143" s="8" t="s">
        <v>357</v>
      </c>
      <c r="G143" s="8" t="s">
        <v>52</v>
      </c>
      <c r="H143" s="10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12"/>
      <c r="Z143" s="12"/>
      <c r="AA143" s="12"/>
      <c r="AB143" s="12"/>
      <c r="AC143" s="12"/>
      <c r="AD143" s="12"/>
      <c r="AE143" s="12"/>
      <c r="AF143" s="12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4">
        <f>SUM(BC143:BE143)</f>
      </c>
      <c r="BC143" s="14">
        <f>COUNTA(I143,L143,O143,R143,U143,X143,AA143,AD143,AG143,AJ143,AM143,AP143,AS143,AV143,AY143,J143,M143,P143,S143,V143,Y143,AB143,AE143,AH143,AK143,AN143,AQ143,AT143,AW143,AZ143)</f>
      </c>
      <c r="BD143" s="14">
        <v>0</v>
      </c>
      <c r="BE143" s="14">
        <f>COUNTA(K143,N143,Q143,T143,W143,Z143,AC143,AF143,AI143,AL143,AO143,AR143,AU143,AX143,BA143)</f>
      </c>
      <c r="BF143" s="8" t="s">
        <v>40</v>
      </c>
    </row>
  </sheetData>
  <mergeCells count="28">
    <mergeCell ref="B2:H2"/>
    <mergeCell ref="I4:W4"/>
    <mergeCell ref="X4:AF4"/>
    <mergeCell ref="AG4:BA4"/>
    <mergeCell ref="BB4:BE5"/>
    <mergeCell ref="B4:B6"/>
    <mergeCell ref="C4:C6"/>
    <mergeCell ref="D4:D6"/>
    <mergeCell ref="E4:E6"/>
    <mergeCell ref="F4:F6"/>
    <mergeCell ref="G4:G6"/>
    <mergeCell ref="H4:H6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F4:B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특별점검결과표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2026-07-06T05:23:34Z</dcterms:created>
  <dcterms:modified xsi:type="dcterms:W3CDTF">2026-07-06T05:23:34Z</dcterms:modified>
</cp:coreProperties>
</file>